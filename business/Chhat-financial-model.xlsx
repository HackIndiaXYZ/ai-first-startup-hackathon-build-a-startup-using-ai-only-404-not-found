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Assumptions" sheetId="2" state="visible" r:id="rId2"/>
    <sheet name="AI cost" sheetId="3" state="visible" r:id="rId3"/>
    <sheet name="M-Base" sheetId="4" state="visible" r:id="rId4"/>
    <sheet name="M-Downside" sheetId="5" state="visible" r:id="rId5"/>
    <sheet name="M-Upside" sheetId="6" state="visible" r:id="rId6"/>
    <sheet name="P&amp;L" sheetId="7" state="visible" r:id="rId7"/>
    <sheet name="Cash" sheetId="8" state="visible" r:id="rId8"/>
    <sheet name="Scenarios" sheetId="9" state="visible" r:id="rId9"/>
    <sheet name="Unit economics" sheetId="10" state="visible" r:id="rId10"/>
    <sheet name="Market" sheetId="11" state="visible" r:id="rId11"/>
    <sheet name="Sensitivity" sheetId="12" state="visible" r:id="rId12"/>
    <sheet name="Sourc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#,##0;(#,##0);&quot;-&quot;"/>
    <numFmt numFmtId="165" formatCode="0.0%;(0.0%);&quot;-&quot;"/>
    <numFmt numFmtId="166" formatCode="#,##0.0;(#,##0.0);&quot;-&quot;"/>
    <numFmt numFmtId="167" formatCode="0.00&quot;x&quot;"/>
    <numFmt numFmtId="168" formatCode="0.0"/>
    <numFmt numFmtId="169" formatCode="0%;(0%);&quot;-&quot;"/>
    <numFmt numFmtId="170" formatCode="#,##0.00;(#,##0.00);&quot;-&quot;"/>
    <numFmt numFmtId="171" formatCode="0.000%"/>
    <numFmt numFmtId="172" formatCode="0.000"/>
    <numFmt numFmtId="173" formatCode="0.0&quot;x&quot;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</font>
    <font>
      <name val="Arial"/>
      <b val="1"/>
      <color rgb="00FFFFFF"/>
    </font>
    <font>
      <name val="Arial"/>
      <b val="1"/>
    </font>
    <font>
      <name val="Arial"/>
      <color rgb="00000000"/>
    </font>
    <font>
      <name val="Arial"/>
      <color rgb="000000FF"/>
    </font>
    <font>
      <name val="Arial"/>
      <color rgb="00666666"/>
      <sz val="9"/>
    </font>
    <font>
      <name val="Arial"/>
      <color rgb="00008000"/>
    </font>
    <font>
      <name val="Arial"/>
      <b val="1"/>
      <color rgb="00000000"/>
    </font>
    <font>
      <name val="Arial"/>
      <b val="1"/>
      <color rgb="00008000"/>
    </font>
    <font>
      <name val="Arial"/>
      <color rgb="001F4E99"/>
      <u val="single"/>
    </font>
  </fonts>
  <fills count="5">
    <fill>
      <patternFill/>
    </fill>
    <fill>
      <patternFill patternType="gray125"/>
    </fill>
    <fill>
      <patternFill patternType="solid">
        <fgColor rgb="001E2A4A"/>
      </patternFill>
    </fill>
    <fill>
      <patternFill patternType="solid">
        <fgColor rgb="00EEF2F8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top style="thin">
        <color rgb="00C9CED6"/>
      </top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70" fontId="10" fillId="0" borderId="0" pivotButton="0" quotePrefix="0" xfId="0"/>
    <xf numFmtId="0" fontId="10" fillId="0" borderId="0" pivotButton="0" quotePrefix="0" xfId="0"/>
    <xf numFmtId="165" fontId="10" fillId="0" borderId="0" pivotButton="0" quotePrefix="0" xfId="0"/>
    <xf numFmtId="0" fontId="6" fillId="0" borderId="0" pivotButton="0" quotePrefix="0" xfId="0"/>
    <xf numFmtId="0" fontId="8" fillId="0" borderId="0" pivotButton="0" quotePrefix="0" xfId="0"/>
    <xf numFmtId="0" fontId="5" fillId="4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0" fontId="4" fillId="3" borderId="0" pivotButton="0" quotePrefix="0" xfId="0"/>
    <xf numFmtId="0" fontId="0" fillId="3" borderId="0" pivotButton="0" quotePrefix="0" xfId="0"/>
    <xf numFmtId="164" fontId="6" fillId="0" borderId="0" pivotButton="0" quotePrefix="0" xfId="0"/>
    <xf numFmtId="0" fontId="7" fillId="0" borderId="0" pivotButton="0" quotePrefix="0" xfId="0"/>
    <xf numFmtId="164" fontId="6" fillId="4" borderId="0" pivotButton="0" quotePrefix="0" xfId="0"/>
    <xf numFmtId="165" fontId="6" fillId="4" borderId="0" pivotButton="0" quotePrefix="0" xfId="0"/>
    <xf numFmtId="166" fontId="6" fillId="4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168" fontId="6" fillId="0" borderId="0" pivotButton="0" quotePrefix="0" xfId="0"/>
    <xf numFmtId="169" fontId="6" fillId="0" borderId="0" pivotButton="0" quotePrefix="0" xfId="0"/>
    <xf numFmtId="4" fontId="8" fillId="0" borderId="0" pivotButton="0" quotePrefix="0" xfId="0"/>
    <xf numFmtId="170" fontId="6" fillId="0" borderId="0" pivotButton="0" quotePrefix="0" xfId="0"/>
    <xf numFmtId="171" fontId="6" fillId="0" borderId="0" pivotButton="0" quotePrefix="0" xfId="0"/>
    <xf numFmtId="169" fontId="6" fillId="4" borderId="0" pivotButton="0" quotePrefix="0" xfId="0"/>
    <xf numFmtId="2" fontId="6" fillId="0" borderId="0" pivotButton="0" quotePrefix="0" xfId="0"/>
    <xf numFmtId="4" fontId="9" fillId="0" borderId="0" pivotButton="0" quotePrefix="0" xfId="0"/>
    <xf numFmtId="164" fontId="2" fillId="0" borderId="0" pivotButton="0" quotePrefix="0" xfId="0"/>
    <xf numFmtId="164" fontId="5" fillId="0" borderId="0" pivotButton="0" quotePrefix="0" xfId="0"/>
    <xf numFmtId="10" fontId="6" fillId="0" borderId="0" pivotButton="0" quotePrefix="0" xfId="0"/>
    <xf numFmtId="166" fontId="5" fillId="0" borderId="0" pivotButton="0" quotePrefix="0" xfId="0"/>
    <xf numFmtId="166" fontId="9" fillId="0" borderId="0" pivotButton="0" quotePrefix="0" xfId="0"/>
    <xf numFmtId="2" fontId="5" fillId="0" borderId="0" pivotButton="0" quotePrefix="0" xfId="0"/>
    <xf numFmtId="172" fontId="5" fillId="0" borderId="0" pivotButton="0" quotePrefix="0" xfId="0"/>
    <xf numFmtId="165" fontId="5" fillId="0" borderId="0" pivotButton="0" quotePrefix="0" xfId="0"/>
    <xf numFmtId="164" fontId="9" fillId="0" borderId="0" pivotButton="0" quotePrefix="0" xfId="0"/>
    <xf numFmtId="0" fontId="9" fillId="0" borderId="0" pivotButton="0" quotePrefix="0" xfId="0"/>
    <xf numFmtId="164" fontId="8" fillId="0" borderId="0" pivotButton="0" quotePrefix="0" xfId="0"/>
    <xf numFmtId="166" fontId="8" fillId="0" borderId="0" pivotButton="0" quotePrefix="0" xfId="0"/>
    <xf numFmtId="166" fontId="10" fillId="0" borderId="1" pivotButton="0" quotePrefix="0" xfId="0"/>
    <xf numFmtId="170" fontId="5" fillId="0" borderId="0" pivotButton="0" quotePrefix="0" xfId="0"/>
    <xf numFmtId="166" fontId="9" fillId="0" borderId="1" pivotButton="0" quotePrefix="0" xfId="0"/>
    <xf numFmtId="166" fontId="10" fillId="0" borderId="0" pivotButton="0" quotePrefix="0" xfId="0"/>
    <xf numFmtId="169" fontId="8" fillId="0" borderId="0" pivotButton="0" quotePrefix="0" xfId="0"/>
    <xf numFmtId="168" fontId="5" fillId="0" borderId="0" pivotButton="0" quotePrefix="0" xfId="0"/>
    <xf numFmtId="169" fontId="5" fillId="0" borderId="0" pivotButton="0" quotePrefix="0" xfId="0"/>
    <xf numFmtId="169" fontId="9" fillId="0" borderId="0" pivotButton="0" quotePrefix="0" xfId="0"/>
    <xf numFmtId="170" fontId="8" fillId="0" borderId="0" pivotButton="0" quotePrefix="0" xfId="0"/>
    <xf numFmtId="165" fontId="8" fillId="0" borderId="0" pivotButton="0" quotePrefix="0" xfId="0"/>
    <xf numFmtId="173" fontId="5" fillId="0" borderId="0" pivotButton="0" quotePrefix="0" xfId="0"/>
    <xf numFmtId="10" fontId="8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Claude</author>
  </authors>
  <commentList>
    <comment ref="A6" authorId="0" shapeId="0">
      <text>
        <t>Launch at code freeze, 1 Nov 2026. Indian financial year runs April to March.</t>
      </text>
    </comment>
    <comment ref="A9" authorId="0" shapeId="0">
      <text>
        <t>Plan volume. Cross-check: FY31 reports are ~0.4 per home installing nationally at the 2026 pace (Market sheet). Paid search at ₹15-45 per click (quickestimate.co, 2026) drives the paid share.</t>
      </text>
    </comment>
    <comment ref="A10" authorId="0" shapeId="0">
      <text>
        <t>Share of reports that ask for vetted installer quotes and pass a verification call. Assumption.</t>
      </text>
    </comment>
    <comment ref="A11" authorId="0" shapeId="0">
      <text>
        <t>Verified, exclusive leads that arrive with a bill and roof model. Shared/cold leads close lower. Assumption; tested on Sensitivity.</t>
      </text>
    </comment>
    <comment ref="A12" authorId="0" shapeId="0">
      <text>
        <t>Indian solar leads: ₹150-400 low quality, ₹1,200-3,500 medium-high (Mocaup, 2026). Verified, sized and exclusive: inside that band.</t>
      </text>
    </comment>
    <comment ref="A13" authorId="0" shapeId="0">
      <text>
        <t>Blended cost per report: paid search (₹15-45 CPC ÷ ~30% click-to-report) mixed with organic, WhatsApp shares and content.</t>
      </text>
    </comment>
    <comment ref="A14" authorId="0" shapeId="0">
      <text>
        <t>Average paying installers on the quote/CRM tool. 29,469 active vendors on the national portal (SolarQuarter, Aug 2026).</t>
      </text>
    </comment>
    <comment ref="A15" authorId="0" shapeId="0">
      <text>
        <t>State / DISCOM billing-analytics contracts (count, starting each April).</t>
      </text>
    </comment>
    <comment ref="A16" authorId="0" shapeId="0">
      <text>
        <t>Multiplier on non-caller headcount from FY28 (management response). Callers always scale with leads.</t>
      </text>
    </comment>
    <comment ref="A39" authorId="0" shapeId="0">
      <text>
        <t>Most PM Surya Ghar homes install ~3 kW to capture the full ₹78,000 subsidy.</t>
      </text>
    </comment>
    <comment ref="A40" authorId="0" shapeId="0">
      <text>
        <t>2026 guides: ₹55,000-85,000/kW before subsidy; Tata Power ₹55,000-72,000. Chhat's fair-price band, falling ~2%/yr.</t>
      </text>
    </comment>
    <comment ref="A41" authorId="0" shapeId="0">
      <text>
        <t>Billed to the installer at commissioning.</t>
      </text>
    </comment>
    <comment ref="A42" authorId="0" shapeId="0">
      <text>
        <t>Leakage: some installs close off-platform or go unreported. Post-install bill audits catch part of it. Assumption.</t>
      </text>
    </comment>
    <comment ref="A43" authorId="0" shapeId="0">
      <text>
        <t>Credits for unreachable or duplicate leads. Assumption.</t>
      </text>
    </comment>
    <comment ref="A44" authorId="0" shapeId="0">
      <text>
        <t>21.87 lakh concessional loans sanctioned against ~50 lakh homes by Aug 2026 (SolarQuarter): ~44%. 35% is conservative.</t>
      </text>
    </comment>
    <comment ref="A45" authorId="0" shapeId="0">
      <text>
        <t>≈ 90% of a 3 kW system before subsidy; collateral-free up to ₹2 lakh.</t>
      </text>
    </comment>
    <comment ref="A46" authorId="0" shapeId="0">
      <text>
        <t>DSA-style payout from the bank or NBFC. Assumption.</t>
      </text>
    </comment>
    <comment ref="A51" authorId="0" shapeId="0">
      <text>
        <t>First ten (FY27): 4 engineers incl. one ML/PV, 1 designer, 2 growth, 2 installer ops, 1 founder-CEO; support starts with 1.</t>
      </text>
    </comment>
    <comment ref="A57" authorId="0" shapeId="0">
      <text>
        <t>Bengaluru startup SDE-2 ₹20-40 lakh cash (AmbitionBox, Instahyre, 2026); blended with a designer; ESOPs on top.</t>
      </text>
    </comment>
    <comment ref="A60" authorId="0" shapeId="0">
      <text>
        <t>Experienced support executives, Hindi and English.</t>
      </text>
    </comment>
    <comment ref="A62" authorId="0" shapeId="0">
      <text>
        <t>Founder-CEO draws a below-market salary.</t>
      </text>
    </comment>
    <comment ref="A63" authorId="0" shapeId="0">
      <text>
        <t>Voice-process median ₹2.3 lakh a year (Hyring 2026 salary model); listings ₹12,000-35,000 a month. Skilled Hindi callers sit above median.</t>
      </text>
    </comment>
    <comment ref="A64" authorId="0" shapeId="0">
      <text>
        <t>~30 verification calls a day, 20 working days.</t>
      </text>
    </comment>
    <comment ref="A66" authorId="0" shapeId="0">
      <text>
        <t>Aon 2026: 9.1% average; Mercer 2026: 9% median (high tech 9.3%).</t>
      </text>
    </comment>
    <comment ref="A67" authorId="0" shapeId="0">
      <text>
        <t>Group health cover and gratuity provision. Employer PF sits inside CTC by Indian convention.</t>
      </text>
    </comment>
    <comment ref="A71" authorId="0" shapeId="0">
      <text>
        <t>Recruiting, travel, insurance, training, software seats.</t>
      </text>
    </comment>
    <comment ref="A72" authorId="0" shapeId="0">
      <text>
        <t>≈ ₹1.5 lakh per head a year (co-working seat, tools) plus statutory audit, legal, company secretary.</t>
      </text>
    </comment>
    <comment ref="A73" authorId="0" shapeId="0">
      <text>
        <t>Payment gateway (~2%) on wallet top-ups and SaaS, plus partner incentives.</t>
      </text>
    </comment>
    <comment ref="A74" authorId="0" shapeId="0">
      <text>
        <t>Replaced after 36 months. Depreciated straight-line over 36 months (Companies Act Sch. II: 3 years for end-user devices).</t>
      </text>
    </comment>
    <comment ref="A77" authorId="0" shapeId="0">
      <text>
        <t>Income-tax Act, 2025 s.200 (old s.115BAA): 22% + 10% surcharge + 4% cess. Losses carried forward up to 8 tax years (s.112).</t>
      </text>
    </comment>
    <comment ref="A78" authorId="0" shapeId="0">
      <text>
        <t>Installers prepay a lead wallet.</t>
      </text>
    </comment>
    <comment ref="A80" authorId="0" shapeId="0">
      <text>
        <t>Lenders pay monthly in arrears.</t>
      </text>
    </comment>
    <comment ref="A81" authorId="0" shapeId="0">
      <text>
        <t>Billed monthly in advance.</t>
      </text>
    </comment>
    <comment ref="A82" authorId="0" shapeId="0">
      <text>
        <t>Government payment cycles.</t>
      </text>
    </comment>
    <comment ref="A83" authorId="0" shapeId="0">
      <text>
        <t>Withheld at source on fees and commissions; refunded or set off about a year later. Modelled as a trailing-12-month balance.</t>
      </text>
    </comment>
    <comment ref="A87" authorId="0" shapeId="0">
      <text>
        <t>The ask.</t>
      </text>
    </comment>
    <comment ref="A89" authorId="0" shapeId="0">
      <text>
        <t>Zero in every scenario: the plan does not depend on it. Enter an amount to test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2" customWidth="1" min="2" max="2"/>
    <col width="90" customWidth="1" min="3" max="3"/>
  </cols>
  <sheetData>
    <row r="1">
      <c r="A1" s="1" t="inlineStr">
        <is>
          <t>Chhat: the independent AI solar advisor for Indian homes</t>
        </is>
      </c>
    </row>
    <row r="2">
      <c r="A2" s="2" t="inlineStr">
        <is>
          <t>Five-year financial model with monthly cash, three scenarios and a token-level AI cost. Prepared by Claude (AI). Facts as of 30 Oct 2026.</t>
        </is>
      </c>
    </row>
    <row r="4">
      <c r="A4" s="3" t="inlineStr">
        <is>
          <t>Headline (Base case)</t>
        </is>
      </c>
    </row>
    <row r="5">
      <c r="A5" s="4" t="inlineStr">
        <is>
          <t>Seed ask</t>
        </is>
      </c>
      <c r="B5" s="5">
        <f>Cash!C14/100</f>
        <v>6.0</v>
      </c>
      <c r="C5" s="2" t="inlineStr">
        <is>
          <t>₹ crore for 15%</t>
        </is>
      </c>
    </row>
    <row r="6">
      <c r="A6" s="4" t="inlineStr">
        <is>
          <t>Post-money valuation</t>
        </is>
      </c>
      <c r="B6" s="5">
        <f>Cash!C17</f>
        <v>40.0</v>
      </c>
      <c r="C6" s="2" t="inlineStr">
        <is>
          <t>₹ crore</t>
        </is>
      </c>
    </row>
    <row r="7">
      <c r="A7" s="4" t="inlineStr">
        <is>
          <t>EBITDA positive every month from</t>
        </is>
      </c>
      <c r="B7" s="6" t="str">
        <f>Cash!C18</f>
        <v>Apr-28</v>
      </c>
      <c r="C7" s="2" t="inlineStr">
        <is>
          <t>first full positive year: FY29</t>
        </is>
      </c>
    </row>
    <row r="8">
      <c r="A8" s="4" t="inlineStr">
        <is>
          <t>Lowest cash balance</t>
        </is>
      </c>
      <c r="B8" s="5">
        <f>Cash!C19/100</f>
        <v>1.9431241764030447</v>
      </c>
      <c r="C8" s="2" t="inlineStr">
        <is>
          <t>₹ crore</t>
        </is>
      </c>
    </row>
    <row r="9">
      <c r="A9" s="4" t="inlineStr">
        <is>
          <t>…in</t>
        </is>
      </c>
      <c r="B9" s="6" t="str">
        <f>Cash!C20</f>
        <v>May-28</v>
      </c>
    </row>
    <row r="10">
      <c r="A10" s="4" t="inlineStr">
        <is>
          <t>FY31 revenue</t>
        </is>
      </c>
      <c r="B10" s="5">
        <f>'P&amp;L'!G37</f>
        <v>79.75980850845262</v>
      </c>
      <c r="C10" s="2" t="inlineStr">
        <is>
          <t>₹ crore</t>
        </is>
      </c>
    </row>
    <row r="11">
      <c r="A11" s="4" t="inlineStr">
        <is>
          <t>FY31 EBITDA margin</t>
        </is>
      </c>
      <c r="B11" s="7">
        <f>'P&amp;L'!G35</f>
        <v>0.3510379995841403</v>
      </c>
    </row>
    <row r="12">
      <c r="A12" s="4" t="inlineStr">
        <is>
          <t>Downside: extra funding needed</t>
        </is>
      </c>
      <c r="B12" s="5">
        <f>Cash!C23/100</f>
        <v>6.108569985157488</v>
      </c>
      <c r="C12" s="2" t="inlineStr">
        <is>
          <t>₹ crore in total (deepest shortfall)</t>
        </is>
      </c>
    </row>
    <row r="13">
      <c r="A13" s="4" t="inlineStr">
        <is>
          <t>Downside: cash would run out in</t>
        </is>
      </c>
      <c r="B13" s="6" t="str">
        <f>Cash!C24</f>
        <v>May-28</v>
      </c>
    </row>
    <row r="14">
      <c r="A14" s="4" t="inlineStr"/>
    </row>
    <row r="15">
      <c r="A15" s="3" t="inlineStr">
        <is>
          <t>How to read this model</t>
        </is>
      </c>
    </row>
    <row r="16">
      <c r="A16" s="8" t="inlineStr">
        <is>
          <t>Blue text</t>
        </is>
      </c>
      <c r="C16" s="2" t="inlineStr">
        <is>
          <t>Hard-coded input. Change these.</t>
        </is>
      </c>
    </row>
    <row r="17">
      <c r="A17" s="4" t="inlineStr">
        <is>
          <t>Black text</t>
        </is>
      </c>
      <c r="C17" s="2" t="inlineStr">
        <is>
          <t>Formula. Don't overwrite.</t>
        </is>
      </c>
    </row>
    <row r="18">
      <c r="A18" s="9" t="inlineStr">
        <is>
          <t>Green text</t>
        </is>
      </c>
      <c r="C18" s="2" t="inlineStr">
        <is>
          <t>Link to another sheet.</t>
        </is>
      </c>
    </row>
    <row r="19">
      <c r="A19" s="10" t="inlineStr">
        <is>
          <t>Yellow fill</t>
        </is>
      </c>
      <c r="C19" s="2" t="inlineStr">
        <is>
          <t>Key lever.</t>
        </is>
      </c>
    </row>
    <row r="20">
      <c r="A20" s="4" t="inlineStr">
        <is>
          <t>FY27*</t>
        </is>
      </c>
      <c r="C20" s="2" t="inlineStr">
        <is>
          <t>Part year: Nov 2026 to Mar 2027 (5 months). Units are ₹ lakh unless a row says otherwise; 1 crore = 100 lakh.</t>
        </is>
      </c>
    </row>
    <row r="21">
      <c r="A21" s="4" t="inlineStr"/>
    </row>
    <row r="22">
      <c r="A22" s="3" t="inlineStr">
        <is>
          <t>Sheets</t>
        </is>
      </c>
    </row>
    <row r="23">
      <c r="A23" s="4" t="inlineStr">
        <is>
          <t>Assumptions</t>
        </is>
      </c>
      <c r="C23" s="2" t="inlineStr">
        <is>
          <t>Every input, with its source or rationale. Three scenario blocks.</t>
        </is>
      </c>
    </row>
    <row r="24">
      <c r="A24" s="4" t="inlineStr">
        <is>
          <t>AI cost</t>
        </is>
      </c>
      <c r="C24" s="2" t="inlineStr">
        <is>
          <t>Claude tokens × prices × ₹/$ → ₹ per report, for today's code and for routed models.</t>
        </is>
      </c>
    </row>
    <row r="25">
      <c r="A25" s="4" t="inlineStr">
        <is>
          <t>M-Base / M-Downside / M-Upside</t>
        </is>
      </c>
      <c r="C25" s="2" t="inlineStr">
        <is>
          <t>Monthly engines: funnel, revenue, people, costs, tax, working capital, cash.</t>
        </is>
      </c>
    </row>
    <row r="26">
      <c r="A26" s="4" t="inlineStr">
        <is>
          <t>P&amp;L, Cash</t>
        </is>
      </c>
      <c r="C26" s="2" t="inlineStr">
        <is>
          <t>Base case by year; the ask, runway and use of funds.</t>
        </is>
      </c>
    </row>
    <row r="27">
      <c r="A27" s="4" t="inlineStr">
        <is>
          <t>Scenarios</t>
        </is>
      </c>
      <c r="C27" s="2" t="inlineStr">
        <is>
          <t>All three cases side by side.</t>
        </is>
      </c>
    </row>
    <row r="28">
      <c r="A28" s="4" t="inlineStr">
        <is>
          <t>Unit economics</t>
        </is>
      </c>
      <c r="C28" s="2" t="inlineStr">
        <is>
          <t>Per report and per installed home, FY28.</t>
        </is>
      </c>
    </row>
    <row r="29">
      <c r="A29" s="4" t="inlineStr">
        <is>
          <t>Market</t>
        </is>
      </c>
      <c r="C29" s="2" t="inlineStr">
        <is>
          <t>TAM (stock), SAM and SOM (annual).</t>
        </is>
      </c>
    </row>
    <row r="30">
      <c r="A30" s="4" t="inlineStr">
        <is>
          <t>Sensitivity</t>
        </is>
      </c>
      <c r="C30" s="2" t="inlineStr">
        <is>
          <t>FY29 EBITDA vs lead fee and conversion.</t>
        </is>
      </c>
    </row>
    <row r="31">
      <c r="A31" s="4" t="inlineStr">
        <is>
          <t>Sources</t>
        </is>
      </c>
      <c r="C31" s="2" t="inlineStr">
        <is>
          <t>Every external fact, with its URL.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0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3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20" customWidth="1" min="9" max="9"/>
  </cols>
  <sheetData>
    <row r="1">
      <c r="A1" s="1" t="inlineStr">
        <is>
          <t>Assumptions</t>
        </is>
      </c>
    </row>
    <row r="2">
      <c r="A2" s="2" t="inlineStr">
        <is>
          <t>Every input in the model. Blue = change me. Facts are dated and sourced in column I (and on the Sources sheet). As of 30 Oct 2026.</t>
        </is>
      </c>
    </row>
    <row r="3">
      <c r="A3" s="11" t="inlineStr">
        <is>
          <t>Input</t>
        </is>
      </c>
      <c r="B3" s="11" t="inlineStr">
        <is>
          <t>Unit / note</t>
        </is>
      </c>
      <c r="C3" s="12" t="inlineStr">
        <is>
          <t>FY27*</t>
        </is>
      </c>
      <c r="D3" s="12" t="inlineStr">
        <is>
          <t>FY28</t>
        </is>
      </c>
      <c r="E3" s="12" t="inlineStr">
        <is>
          <t>FY29</t>
        </is>
      </c>
      <c r="F3" s="12" t="inlineStr">
        <is>
          <t>FY30</t>
        </is>
      </c>
      <c r="G3" s="12" t="inlineStr">
        <is>
          <t>FY31</t>
        </is>
      </c>
      <c r="H3" s="12" t="inlineStr">
        <is>
          <t>Pre-launch</t>
        </is>
      </c>
      <c r="I3" s="12" t="inlineStr">
        <is>
          <t>Source / rationale</t>
        </is>
      </c>
    </row>
    <row r="5">
      <c r="A5" s="13" t="inlineStr">
        <is>
          <t>Timeline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</row>
    <row r="6">
      <c r="A6" s="4" t="inlineStr">
        <is>
          <t>Months in year</t>
        </is>
      </c>
      <c r="B6" s="2" t="inlineStr">
        <is>
          <t>FY27* = Nov 2026 to Mar 2027</t>
        </is>
      </c>
      <c r="C6" s="15" t="n">
        <v>5</v>
      </c>
      <c r="D6" s="15" t="n">
        <v>12</v>
      </c>
      <c r="E6" s="15" t="n">
        <v>12</v>
      </c>
      <c r="F6" s="15" t="n">
        <v>12</v>
      </c>
      <c r="G6" s="15" t="n">
        <v>12</v>
      </c>
      <c r="I6" s="16" t="inlineStr">
        <is>
          <t>Launch at code freeze, 1 Nov 2026. Indian financial year runs April to March.</t>
        </is>
      </c>
    </row>
    <row r="8">
      <c r="A8" s="13" t="inlineStr">
        <is>
          <t>Scenario drivers: Base. Plan case.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</row>
    <row r="9">
      <c r="A9" s="4" t="inlineStr">
        <is>
          <t>Roof Reports generated</t>
        </is>
      </c>
      <c r="B9" s="2" t="inlineStr">
        <is>
          <t>count</t>
        </is>
      </c>
      <c r="C9" s="17" t="n">
        <v>40000</v>
      </c>
      <c r="D9" s="17" t="n">
        <v>400000</v>
      </c>
      <c r="E9" s="17" t="n">
        <v>1200000</v>
      </c>
      <c r="F9" s="17" t="n">
        <v>2500000</v>
      </c>
      <c r="G9" s="17" t="n">
        <v>4000000</v>
      </c>
      <c r="I9" s="16" t="inlineStr">
        <is>
          <t>Plan volume. Cross-check: FY31 reports are ~0.4 per home installing nationally at the 2026 pace (Market sheet). Paid search at ₹15-45 per click (quickestimate.co, 2026) drives the paid share.</t>
        </is>
      </c>
    </row>
    <row r="10">
      <c r="A10" s="4" t="inlineStr">
        <is>
          <t>Report → verified lead</t>
        </is>
      </c>
      <c r="B10" s="2" t="inlineStr">
        <is>
          <t>% of reports</t>
        </is>
      </c>
      <c r="C10" s="18" t="n">
        <v>0.08</v>
      </c>
      <c r="D10" s="18" t="n">
        <v>0.08</v>
      </c>
      <c r="E10" s="18" t="n">
        <v>0.08</v>
      </c>
      <c r="F10" s="18" t="n">
        <v>0.08</v>
      </c>
      <c r="G10" s="18" t="n">
        <v>0.08</v>
      </c>
      <c r="I10" s="16" t="inlineStr">
        <is>
          <t>Share of reports that ask for vetted installer quotes and pass a verification call. Assumption.</t>
        </is>
      </c>
    </row>
    <row r="11">
      <c r="A11" s="4" t="inlineStr">
        <is>
          <t>Verified lead → installed home</t>
        </is>
      </c>
      <c r="B11" s="2" t="inlineStr">
        <is>
          <t>% of leads (2-month lag)</t>
        </is>
      </c>
      <c r="C11" s="18" t="n">
        <v>0.2</v>
      </c>
      <c r="D11" s="18" t="n">
        <v>0.2</v>
      </c>
      <c r="E11" s="18" t="n">
        <v>0.2</v>
      </c>
      <c r="F11" s="18" t="n">
        <v>0.2</v>
      </c>
      <c r="G11" s="18" t="n">
        <v>0.2</v>
      </c>
      <c r="I11" s="16" t="inlineStr">
        <is>
          <t>Verified, exclusive leads that arrive with a bill and roof model. Shared/cold leads close lower. Assumption; tested on Sensitivity.</t>
        </is>
      </c>
    </row>
    <row r="12">
      <c r="A12" s="4" t="inlineStr">
        <is>
          <t>Lead fee paid by installer</t>
        </is>
      </c>
      <c r="B12" s="2" t="inlineStr">
        <is>
          <t>₹ per verified lead</t>
        </is>
      </c>
      <c r="C12" s="17" t="n">
        <v>1500</v>
      </c>
      <c r="D12" s="17" t="n">
        <v>1500</v>
      </c>
      <c r="E12" s="17" t="n">
        <v>1500</v>
      </c>
      <c r="F12" s="17" t="n">
        <v>1500</v>
      </c>
      <c r="G12" s="17" t="n">
        <v>1500</v>
      </c>
      <c r="I12" s="16" t="inlineStr">
        <is>
          <t>Indian solar leads: ₹150-400 low quality, ₹1,200-3,500 medium-high (Mocaup, 2026). Verified, sized and exclusive: inside that band.</t>
        </is>
      </c>
    </row>
    <row r="13">
      <c r="A13" s="4" t="inlineStr">
        <is>
          <t>Blended acquisition cost</t>
        </is>
      </c>
      <c r="B13" s="2" t="inlineStr">
        <is>
          <t>₹ per report</t>
        </is>
      </c>
      <c r="C13" s="19" t="n">
        <v>100</v>
      </c>
      <c r="D13" s="19" t="n">
        <v>85</v>
      </c>
      <c r="E13" s="19" t="n">
        <v>75</v>
      </c>
      <c r="F13" s="19" t="n">
        <v>65</v>
      </c>
      <c r="G13" s="19" t="n">
        <v>60</v>
      </c>
      <c r="I13" s="16" t="inlineStr">
        <is>
          <t>Blended cost per report: paid search (₹15-45 CPC ÷ ~30% click-to-report) mixed with organic, WhatsApp shares and content.</t>
        </is>
      </c>
    </row>
    <row r="14">
      <c r="A14" s="4" t="inlineStr">
        <is>
          <t>Paying installers on SaaS</t>
        </is>
      </c>
      <c r="B14" s="2" t="inlineStr">
        <is>
          <t>count (average)</t>
        </is>
      </c>
      <c r="C14" s="15" t="n">
        <v>25</v>
      </c>
      <c r="D14" s="15" t="n">
        <v>300</v>
      </c>
      <c r="E14" s="15" t="n">
        <v>900</v>
      </c>
      <c r="F14" s="15" t="n">
        <v>1600</v>
      </c>
      <c r="G14" s="15" t="n">
        <v>2500</v>
      </c>
      <c r="I14" s="16" t="inlineStr">
        <is>
          <t>Average paying installers on the quote/CRM tool. 29,469 active vendors on the national portal (SolarQuarter, Aug 2026).</t>
        </is>
      </c>
    </row>
    <row r="15">
      <c r="A15" s="4" t="inlineStr">
        <is>
          <t>State / DISCOM analytics contracts</t>
        </is>
      </c>
      <c r="B15" s="2" t="inlineStr">
        <is>
          <t>count</t>
        </is>
      </c>
      <c r="C15" s="15" t="n">
        <v>0</v>
      </c>
      <c r="D15" s="15" t="n">
        <v>1</v>
      </c>
      <c r="E15" s="15" t="n">
        <v>3</v>
      </c>
      <c r="F15" s="15" t="n">
        <v>6</v>
      </c>
      <c r="G15" s="15" t="n">
        <v>10</v>
      </c>
      <c r="I15" s="16" t="inlineStr">
        <is>
          <t>State / DISCOM billing-analytics contracts (count, starting each April).</t>
        </is>
      </c>
    </row>
    <row r="16">
      <c r="A16" s="4" t="inlineStr">
        <is>
          <t>Hiring factor (non-caller teams)</t>
        </is>
      </c>
      <c r="B16" s="2" t="inlineStr">
        <is>
          <t>x plan</t>
        </is>
      </c>
      <c r="C16" s="20" t="n">
        <v>1</v>
      </c>
      <c r="D16" s="20" t="n">
        <v>1</v>
      </c>
      <c r="E16" s="20" t="n">
        <v>1</v>
      </c>
      <c r="F16" s="20" t="n">
        <v>1</v>
      </c>
      <c r="G16" s="20" t="n">
        <v>1</v>
      </c>
      <c r="I16" s="16" t="inlineStr">
        <is>
          <t>Multiplier on non-caller headcount from FY28 (management response). Callers always scale with leads.</t>
        </is>
      </c>
    </row>
    <row r="18">
      <c r="A18" s="13" t="inlineStr">
        <is>
          <t>Scenario drivers: Downside. 30% less traffic, ~25% less revenue per report (7% leads, 17% installs, ₹1,300 fee), CAC +10%, SaaS -40%, fewer states. Management response: non-caller hiring held at 80% of plan from FY28.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</row>
    <row r="19">
      <c r="A19" s="4" t="inlineStr">
        <is>
          <t>Roof Reports generated</t>
        </is>
      </c>
      <c r="B19" s="2" t="inlineStr">
        <is>
          <t>count</t>
        </is>
      </c>
      <c r="C19" s="15" t="n">
        <v>28000</v>
      </c>
      <c r="D19" s="15" t="n">
        <v>280000</v>
      </c>
      <c r="E19" s="15" t="n">
        <v>840000</v>
      </c>
      <c r="F19" s="15" t="n">
        <v>1750000</v>
      </c>
      <c r="G19" s="15" t="n">
        <v>2800000</v>
      </c>
    </row>
    <row r="20">
      <c r="A20" s="4" t="inlineStr">
        <is>
          <t>Report → verified lead</t>
        </is>
      </c>
      <c r="B20" s="2" t="inlineStr">
        <is>
          <t>% of reports</t>
        </is>
      </c>
      <c r="C20" s="21" t="n">
        <v>0.07000000000000001</v>
      </c>
      <c r="D20" s="21" t="n">
        <v>0.07000000000000001</v>
      </c>
      <c r="E20" s="21" t="n">
        <v>0.07000000000000001</v>
      </c>
      <c r="F20" s="21" t="n">
        <v>0.07000000000000001</v>
      </c>
      <c r="G20" s="21" t="n">
        <v>0.07000000000000001</v>
      </c>
    </row>
    <row r="21">
      <c r="A21" s="4" t="inlineStr">
        <is>
          <t>Verified lead → installed home</t>
        </is>
      </c>
      <c r="B21" s="2" t="inlineStr">
        <is>
          <t>% of leads (2-month lag)</t>
        </is>
      </c>
      <c r="C21" s="21" t="n">
        <v>0.17</v>
      </c>
      <c r="D21" s="21" t="n">
        <v>0.17</v>
      </c>
      <c r="E21" s="21" t="n">
        <v>0.17</v>
      </c>
      <c r="F21" s="21" t="n">
        <v>0.17</v>
      </c>
      <c r="G21" s="21" t="n">
        <v>0.17</v>
      </c>
    </row>
    <row r="22">
      <c r="A22" s="4" t="inlineStr">
        <is>
          <t>Lead fee paid by installer</t>
        </is>
      </c>
      <c r="B22" s="2" t="inlineStr">
        <is>
          <t>₹ per verified lead</t>
        </is>
      </c>
      <c r="C22" s="15" t="n">
        <v>1300</v>
      </c>
      <c r="D22" s="15" t="n">
        <v>1300</v>
      </c>
      <c r="E22" s="15" t="n">
        <v>1300</v>
      </c>
      <c r="F22" s="15" t="n">
        <v>1300</v>
      </c>
      <c r="G22" s="15" t="n">
        <v>1300</v>
      </c>
    </row>
    <row r="23">
      <c r="A23" s="4" t="inlineStr">
        <is>
          <t>Blended acquisition cost</t>
        </is>
      </c>
      <c r="B23" s="2" t="inlineStr">
        <is>
          <t>₹ per report</t>
        </is>
      </c>
      <c r="C23" s="22" t="n">
        <v>110</v>
      </c>
      <c r="D23" s="22" t="n">
        <v>93.5</v>
      </c>
      <c r="E23" s="22" t="n">
        <v>82.5</v>
      </c>
      <c r="F23" s="22" t="n">
        <v>71.5</v>
      </c>
      <c r="G23" s="22" t="n">
        <v>66</v>
      </c>
    </row>
    <row r="24">
      <c r="A24" s="4" t="inlineStr">
        <is>
          <t>Paying installers on SaaS</t>
        </is>
      </c>
      <c r="B24" s="2" t="inlineStr">
        <is>
          <t>count (average)</t>
        </is>
      </c>
      <c r="C24" s="15" t="n">
        <v>15</v>
      </c>
      <c r="D24" s="15" t="n">
        <v>180</v>
      </c>
      <c r="E24" s="15" t="n">
        <v>540</v>
      </c>
      <c r="F24" s="15" t="n">
        <v>960</v>
      </c>
      <c r="G24" s="15" t="n">
        <v>1500</v>
      </c>
    </row>
    <row r="25">
      <c r="A25" s="4" t="inlineStr">
        <is>
          <t>State / DISCOM analytics contracts</t>
        </is>
      </c>
      <c r="B25" s="2" t="inlineStr">
        <is>
          <t>count</t>
        </is>
      </c>
      <c r="C25" s="15" t="n">
        <v>0</v>
      </c>
      <c r="D25" s="15" t="n">
        <v>0</v>
      </c>
      <c r="E25" s="15" t="n">
        <v>2</v>
      </c>
      <c r="F25" s="15" t="n">
        <v>4</v>
      </c>
      <c r="G25" s="15" t="n">
        <v>6</v>
      </c>
    </row>
    <row r="26">
      <c r="A26" s="4" t="inlineStr">
        <is>
          <t>Hiring factor (non-caller teams)</t>
        </is>
      </c>
      <c r="B26" s="2" t="inlineStr">
        <is>
          <t>x plan</t>
        </is>
      </c>
      <c r="C26" s="20" t="n">
        <v>1</v>
      </c>
      <c r="D26" s="20" t="n">
        <v>0.8</v>
      </c>
      <c r="E26" s="20" t="n">
        <v>0.8</v>
      </c>
      <c r="F26" s="20" t="n">
        <v>0.8</v>
      </c>
      <c r="G26" s="20" t="n">
        <v>0.8</v>
      </c>
    </row>
    <row r="28">
      <c r="A28" s="13" t="inlineStr">
        <is>
          <t>Scenario drivers: Upside. 20% more traffic, ~25% more revenue per report (9% leads, 22% installs, ₹1,650 fee), CAC -10%, SaaS +20%. Hiring runs 15% above plan from FY28 to serve the volume.</t>
        </is>
      </c>
      <c r="B28" s="14" t="n"/>
      <c r="C28" s="14" t="n"/>
      <c r="D28" s="14" t="n"/>
      <c r="E28" s="14" t="n"/>
      <c r="F28" s="14" t="n"/>
      <c r="G28" s="14" t="n"/>
      <c r="H28" s="14" t="n"/>
      <c r="I28" s="14" t="n"/>
    </row>
    <row r="29">
      <c r="A29" s="4" t="inlineStr">
        <is>
          <t>Roof Reports generated</t>
        </is>
      </c>
      <c r="B29" s="2" t="inlineStr">
        <is>
          <t>count</t>
        </is>
      </c>
      <c r="C29" s="15" t="n">
        <v>48000</v>
      </c>
      <c r="D29" s="15" t="n">
        <v>480000</v>
      </c>
      <c r="E29" s="15" t="n">
        <v>1440000</v>
      </c>
      <c r="F29" s="15" t="n">
        <v>3000000</v>
      </c>
      <c r="G29" s="15" t="n">
        <v>4800000</v>
      </c>
    </row>
    <row r="30">
      <c r="A30" s="4" t="inlineStr">
        <is>
          <t>Report → verified lead</t>
        </is>
      </c>
      <c r="B30" s="2" t="inlineStr">
        <is>
          <t>% of reports</t>
        </is>
      </c>
      <c r="C30" s="21" t="n">
        <v>0.09</v>
      </c>
      <c r="D30" s="21" t="n">
        <v>0.09</v>
      </c>
      <c r="E30" s="21" t="n">
        <v>0.09</v>
      </c>
      <c r="F30" s="21" t="n">
        <v>0.09</v>
      </c>
      <c r="G30" s="21" t="n">
        <v>0.09</v>
      </c>
    </row>
    <row r="31">
      <c r="A31" s="4" t="inlineStr">
        <is>
          <t>Verified lead → installed home</t>
        </is>
      </c>
      <c r="B31" s="2" t="inlineStr">
        <is>
          <t>% of leads (2-month lag)</t>
        </is>
      </c>
      <c r="C31" s="21" t="n">
        <v>0.22</v>
      </c>
      <c r="D31" s="21" t="n">
        <v>0.22</v>
      </c>
      <c r="E31" s="21" t="n">
        <v>0.22</v>
      </c>
      <c r="F31" s="21" t="n">
        <v>0.22</v>
      </c>
      <c r="G31" s="21" t="n">
        <v>0.22</v>
      </c>
    </row>
    <row r="32">
      <c r="A32" s="4" t="inlineStr">
        <is>
          <t>Lead fee paid by installer</t>
        </is>
      </c>
      <c r="B32" s="2" t="inlineStr">
        <is>
          <t>₹ per verified lead</t>
        </is>
      </c>
      <c r="C32" s="15" t="n">
        <v>1650</v>
      </c>
      <c r="D32" s="15" t="n">
        <v>1650</v>
      </c>
      <c r="E32" s="15" t="n">
        <v>1650</v>
      </c>
      <c r="F32" s="15" t="n">
        <v>1650</v>
      </c>
      <c r="G32" s="15" t="n">
        <v>1650</v>
      </c>
    </row>
    <row r="33">
      <c r="A33" s="4" t="inlineStr">
        <is>
          <t>Blended acquisition cost</t>
        </is>
      </c>
      <c r="B33" s="2" t="inlineStr">
        <is>
          <t>₹ per report</t>
        </is>
      </c>
      <c r="C33" s="22" t="n">
        <v>90</v>
      </c>
      <c r="D33" s="22" t="n">
        <v>76.5</v>
      </c>
      <c r="E33" s="22" t="n">
        <v>67.5</v>
      </c>
      <c r="F33" s="22" t="n">
        <v>58.5</v>
      </c>
      <c r="G33" s="22" t="n">
        <v>54</v>
      </c>
    </row>
    <row r="34">
      <c r="A34" s="4" t="inlineStr">
        <is>
          <t>Paying installers on SaaS</t>
        </is>
      </c>
      <c r="B34" s="2" t="inlineStr">
        <is>
          <t>count (average)</t>
        </is>
      </c>
      <c r="C34" s="15" t="n">
        <v>30</v>
      </c>
      <c r="D34" s="15" t="n">
        <v>360</v>
      </c>
      <c r="E34" s="15" t="n">
        <v>1080</v>
      </c>
      <c r="F34" s="15" t="n">
        <v>1920</v>
      </c>
      <c r="G34" s="15" t="n">
        <v>3000</v>
      </c>
    </row>
    <row r="35">
      <c r="A35" s="4" t="inlineStr">
        <is>
          <t>State / DISCOM analytics contracts</t>
        </is>
      </c>
      <c r="B35" s="2" t="inlineStr">
        <is>
          <t>count</t>
        </is>
      </c>
      <c r="C35" s="15" t="n">
        <v>0</v>
      </c>
      <c r="D35" s="15" t="n">
        <v>1</v>
      </c>
      <c r="E35" s="15" t="n">
        <v>4</v>
      </c>
      <c r="F35" s="15" t="n">
        <v>7</v>
      </c>
      <c r="G35" s="15" t="n">
        <v>12</v>
      </c>
    </row>
    <row r="36">
      <c r="A36" s="4" t="inlineStr">
        <is>
          <t>Hiring factor (non-caller teams)</t>
        </is>
      </c>
      <c r="B36" s="2" t="inlineStr">
        <is>
          <t>x plan</t>
        </is>
      </c>
      <c r="C36" s="20" t="n">
        <v>1</v>
      </c>
      <c r="D36" s="20" t="n">
        <v>1.15</v>
      </c>
      <c r="E36" s="20" t="n">
        <v>1.15</v>
      </c>
      <c r="F36" s="20" t="n">
        <v>1.15</v>
      </c>
      <c r="G36" s="20" t="n">
        <v>1.15</v>
      </c>
    </row>
    <row r="38">
      <c r="A38" s="13" t="inlineStr">
        <is>
          <t>Pricing and funnel (all scenarios)</t>
        </is>
      </c>
      <c r="B38" s="14" t="n"/>
      <c r="C38" s="14" t="n"/>
      <c r="D38" s="14" t="n"/>
      <c r="E38" s="14" t="n"/>
      <c r="F38" s="14" t="n"/>
      <c r="G38" s="14" t="n"/>
      <c r="H38" s="14" t="n"/>
      <c r="I38" s="14" t="n"/>
    </row>
    <row r="39">
      <c r="A39" s="4" t="inlineStr">
        <is>
          <t>Average system size</t>
        </is>
      </c>
      <c r="B39" s="2" t="inlineStr">
        <is>
          <t>kWp</t>
        </is>
      </c>
      <c r="C39" s="23" t="n">
        <v>3.2</v>
      </c>
      <c r="I39" s="16" t="inlineStr">
        <is>
          <t>Most PM Surya Ghar homes install ~3 kW to capture the full ₹78,000 subsidy.</t>
        </is>
      </c>
    </row>
    <row r="40">
      <c r="A40" s="4" t="inlineStr">
        <is>
          <t>Average installed price</t>
        </is>
      </c>
      <c r="B40" s="2" t="inlineStr">
        <is>
          <t>₹ per kW</t>
        </is>
      </c>
      <c r="C40" s="15" t="n">
        <v>58000</v>
      </c>
      <c r="D40" s="15" t="n">
        <v>57000</v>
      </c>
      <c r="E40" s="15" t="n">
        <v>56000</v>
      </c>
      <c r="F40" s="15" t="n">
        <v>55000</v>
      </c>
      <c r="G40" s="15" t="n">
        <v>54000</v>
      </c>
      <c r="I40" s="16" t="inlineStr">
        <is>
          <t>2026 guides: ₹55,000-85,000/kW before subsidy; Tata Power ₹55,000-72,000. Chhat's fair-price band, falling ~2%/yr.</t>
        </is>
      </c>
    </row>
    <row r="41">
      <c r="A41" s="4" t="inlineStr">
        <is>
          <t>Success fee on completed installs</t>
        </is>
      </c>
      <c r="B41" s="2" t="inlineStr">
        <is>
          <t>% of system value</t>
        </is>
      </c>
      <c r="C41" s="21" t="n">
        <v>0.02</v>
      </c>
      <c r="I41" s="16" t="inlineStr">
        <is>
          <t>Billed to the installer at commissioning.</t>
        </is>
      </c>
    </row>
    <row r="42">
      <c r="A42" s="4" t="inlineStr">
        <is>
          <t>Success fees actually collected</t>
        </is>
      </c>
      <c r="B42" s="2" t="inlineStr">
        <is>
          <t>% of fees due</t>
        </is>
      </c>
      <c r="C42" s="24" t="n">
        <v>0.85</v>
      </c>
      <c r="I42" s="16" t="inlineStr">
        <is>
          <t>Leakage: some installs close off-platform or go unreported. Post-install bill audits catch part of it. Assumption.</t>
        </is>
      </c>
    </row>
    <row r="43">
      <c r="A43" s="4" t="inlineStr">
        <is>
          <t>Lead credits for disputed leads</t>
        </is>
      </c>
      <c r="B43" s="2" t="inlineStr">
        <is>
          <t>% of lead fees</t>
        </is>
      </c>
      <c r="C43" s="24" t="n">
        <v>0.05</v>
      </c>
      <c r="I43" s="16" t="inlineStr">
        <is>
          <t>Credits for unreachable or duplicate leads. Assumption.</t>
        </is>
      </c>
    </row>
    <row r="44">
      <c r="A44" s="4" t="inlineStr">
        <is>
          <t>Installs financed</t>
        </is>
      </c>
      <c r="B44" s="2" t="inlineStr">
        <is>
          <t>% of installs</t>
        </is>
      </c>
      <c r="C44" s="24" t="n">
        <v>0.35</v>
      </c>
      <c r="I44" s="16" t="inlineStr">
        <is>
          <t>21.87 lakh concessional loans sanctioned against ~50 lakh homes by Aug 2026 (SolarQuarter): ~44%. 35% is conservative.</t>
        </is>
      </c>
    </row>
    <row r="45">
      <c r="A45" s="4" t="inlineStr">
        <is>
          <t>Average loan</t>
        </is>
      </c>
      <c r="B45" s="2" t="inlineStr">
        <is>
          <t>₹</t>
        </is>
      </c>
      <c r="C45" s="15" t="n">
        <v>160000</v>
      </c>
      <c r="I45" s="16" t="inlineStr">
        <is>
          <t>≈ 90% of a 3 kW system before subsidy; collateral-free up to ₹2 lakh.</t>
        </is>
      </c>
    </row>
    <row r="46">
      <c r="A46" s="4" t="inlineStr">
        <is>
          <t>Loan origination fee</t>
        </is>
      </c>
      <c r="B46" s="2" t="inlineStr">
        <is>
          <t>% of loan</t>
        </is>
      </c>
      <c r="C46" s="21" t="n">
        <v>0.01</v>
      </c>
      <c r="I46" s="16" t="inlineStr">
        <is>
          <t>DSA-style payout from the bank or NBFC. Assumption.</t>
        </is>
      </c>
    </row>
    <row r="47">
      <c r="A47" s="4" t="inlineStr">
        <is>
          <t>Installer SaaS price</t>
        </is>
      </c>
      <c r="B47" s="2" t="inlineStr">
        <is>
          <t>₹ per month (ex-GST)</t>
        </is>
      </c>
      <c r="C47" s="15" t="n">
        <v>2999</v>
      </c>
    </row>
    <row r="48">
      <c r="A48" s="4" t="inlineStr">
        <is>
          <t>State / DISCOM contract value</t>
        </is>
      </c>
      <c r="B48" s="2" t="inlineStr">
        <is>
          <t>₹ lakh per state-year</t>
        </is>
      </c>
      <c r="C48" s="22" t="n">
        <v>40</v>
      </c>
    </row>
    <row r="50">
      <c r="A50" s="13" t="inlineStr">
        <is>
          <t>Team and pay (base plan; scenario hiring factor applies from FY28)</t>
        </is>
      </c>
      <c r="B50" s="14" t="n"/>
      <c r="C50" s="14" t="n"/>
      <c r="D50" s="14" t="n"/>
      <c r="E50" s="14" t="n"/>
      <c r="F50" s="14" t="n"/>
      <c r="G50" s="14" t="n"/>
      <c r="H50" s="14" t="n"/>
      <c r="I50" s="14" t="n"/>
    </row>
    <row r="51">
      <c r="A51" s="4" t="inlineStr">
        <is>
          <t>Headcount: Product &amp; engineering (incl. design, ML/PV)</t>
        </is>
      </c>
      <c r="B51" s="2" t="inlineStr">
        <is>
          <t>average for the year</t>
        </is>
      </c>
      <c r="C51" s="22" t="n">
        <v>5</v>
      </c>
      <c r="D51" s="22" t="n">
        <v>12</v>
      </c>
      <c r="E51" s="22" t="n">
        <v>18</v>
      </c>
      <c r="F51" s="22" t="n">
        <v>24</v>
      </c>
      <c r="G51" s="22" t="n">
        <v>30</v>
      </c>
      <c r="H51" s="22" t="n">
        <v>1</v>
      </c>
      <c r="I51" s="16" t="inlineStr">
        <is>
          <t>First ten (FY27): 4 engineers incl. one ML/PV, 1 designer, 2 growth, 2 installer ops, 1 founder-CEO; support starts with 1.</t>
        </is>
      </c>
    </row>
    <row r="52">
      <c r="A52" s="4" t="inlineStr">
        <is>
          <t>Headcount: Growth &amp; content</t>
        </is>
      </c>
      <c r="B52" s="2" t="inlineStr">
        <is>
          <t>average for the year</t>
        </is>
      </c>
      <c r="C52" s="22" t="n">
        <v>2</v>
      </c>
      <c r="D52" s="22" t="n">
        <v>4</v>
      </c>
      <c r="E52" s="22" t="n">
        <v>7</v>
      </c>
      <c r="F52" s="22" t="n">
        <v>9</v>
      </c>
      <c r="G52" s="22" t="n">
        <v>11</v>
      </c>
      <c r="H52" s="22" t="n">
        <v>1</v>
      </c>
    </row>
    <row r="53">
      <c r="A53" s="4" t="inlineStr">
        <is>
          <t>Headcount: Installer network &amp; partnerships</t>
        </is>
      </c>
      <c r="B53" s="2" t="inlineStr">
        <is>
          <t>average for the year</t>
        </is>
      </c>
      <c r="C53" s="22" t="n">
        <v>2</v>
      </c>
      <c r="D53" s="22" t="n">
        <v>5</v>
      </c>
      <c r="E53" s="22" t="n">
        <v>9</v>
      </c>
      <c r="F53" s="22" t="n">
        <v>12</v>
      </c>
      <c r="G53" s="22" t="n">
        <v>15</v>
      </c>
      <c r="H53" s="22" t="n">
        <v>0</v>
      </c>
    </row>
    <row r="54">
      <c r="A54" s="4" t="inlineStr">
        <is>
          <t>Headcount: Customer &amp; installer support</t>
        </is>
      </c>
      <c r="B54" s="2" t="inlineStr">
        <is>
          <t>average for the year</t>
        </is>
      </c>
      <c r="C54" s="22" t="n">
        <v>1</v>
      </c>
      <c r="D54" s="22" t="n">
        <v>3</v>
      </c>
      <c r="E54" s="22" t="n">
        <v>6</v>
      </c>
      <c r="F54" s="22" t="n">
        <v>9</v>
      </c>
      <c r="G54" s="22" t="n">
        <v>12</v>
      </c>
      <c r="H54" s="22" t="n">
        <v>0</v>
      </c>
    </row>
    <row r="55">
      <c r="A55" s="4" t="inlineStr">
        <is>
          <t>Headcount: State / DISCOM sales</t>
        </is>
      </c>
      <c r="B55" s="2" t="inlineStr">
        <is>
          <t>average for the year</t>
        </is>
      </c>
      <c r="C55" s="22" t="n">
        <v>0</v>
      </c>
      <c r="D55" s="22" t="n">
        <v>1</v>
      </c>
      <c r="E55" s="22" t="n">
        <v>2</v>
      </c>
      <c r="F55" s="22" t="n">
        <v>3</v>
      </c>
      <c r="G55" s="22" t="n">
        <v>4</v>
      </c>
      <c r="H55" s="22" t="n">
        <v>0</v>
      </c>
    </row>
    <row r="56">
      <c r="A56" s="4" t="inlineStr">
        <is>
          <t>Headcount: G&amp;A (founder-CEO, finance, HR, legal)</t>
        </is>
      </c>
      <c r="B56" s="2" t="inlineStr">
        <is>
          <t>average for the year</t>
        </is>
      </c>
      <c r="C56" s="22" t="n">
        <v>1</v>
      </c>
      <c r="D56" s="22" t="n">
        <v>2</v>
      </c>
      <c r="E56" s="22" t="n">
        <v>4</v>
      </c>
      <c r="F56" s="22" t="n">
        <v>6</v>
      </c>
      <c r="G56" s="22" t="n">
        <v>8</v>
      </c>
      <c r="H56" s="22" t="n">
        <v>1</v>
      </c>
    </row>
    <row r="57">
      <c r="A57" s="4" t="inlineStr">
        <is>
          <t>CTC: Product &amp; engineering (incl. design, ML/PV)</t>
        </is>
      </c>
      <c r="B57" s="2" t="inlineStr">
        <is>
          <t>₹ lakh per person-year, FY27 level</t>
        </is>
      </c>
      <c r="C57" s="22" t="n">
        <v>22</v>
      </c>
      <c r="I57" s="16" t="inlineStr">
        <is>
          <t>Bengaluru startup SDE-2 ₹20-40 lakh cash (AmbitionBox, Instahyre, 2026); blended with a designer; ESOPs on top.</t>
        </is>
      </c>
    </row>
    <row r="58">
      <c r="A58" s="4" t="inlineStr">
        <is>
          <t>CTC: Growth &amp; content</t>
        </is>
      </c>
      <c r="B58" s="2" t="inlineStr">
        <is>
          <t>₹ lakh per person-year, FY27 level</t>
        </is>
      </c>
      <c r="C58" s="22" t="n">
        <v>12</v>
      </c>
    </row>
    <row r="59">
      <c r="A59" s="4" t="inlineStr">
        <is>
          <t>CTC: Installer network &amp; partnerships</t>
        </is>
      </c>
      <c r="B59" s="2" t="inlineStr">
        <is>
          <t>₹ lakh per person-year, FY27 level</t>
        </is>
      </c>
      <c r="C59" s="22" t="n">
        <v>9</v>
      </c>
    </row>
    <row r="60">
      <c r="A60" s="4" t="inlineStr">
        <is>
          <t>CTC: Customer &amp; installer support</t>
        </is>
      </c>
      <c r="B60" s="2" t="inlineStr">
        <is>
          <t>₹ lakh per person-year, FY27 level</t>
        </is>
      </c>
      <c r="C60" s="22" t="n">
        <v>4.5</v>
      </c>
      <c r="I60" s="16" t="inlineStr">
        <is>
          <t>Experienced support executives, Hindi and English.</t>
        </is>
      </c>
    </row>
    <row r="61">
      <c r="A61" s="4" t="inlineStr">
        <is>
          <t>CTC: State / DISCOM sales</t>
        </is>
      </c>
      <c r="B61" s="2" t="inlineStr">
        <is>
          <t>₹ lakh per person-year, FY27 level</t>
        </is>
      </c>
      <c r="C61" s="22" t="n">
        <v>24</v>
      </c>
    </row>
    <row r="62">
      <c r="A62" s="4" t="inlineStr">
        <is>
          <t>CTC: G&amp;A (founder-CEO, finance, HR, legal)</t>
        </is>
      </c>
      <c r="B62" s="2" t="inlineStr">
        <is>
          <t>₹ lakh per person-year, FY27 level</t>
        </is>
      </c>
      <c r="C62" s="22" t="n">
        <v>15</v>
      </c>
      <c r="I62" s="16" t="inlineStr">
        <is>
          <t>Founder-CEO draws a below-market salary.</t>
        </is>
      </c>
    </row>
    <row r="63">
      <c r="A63" s="4" t="inlineStr">
        <is>
          <t>CTC: lead-verification caller</t>
        </is>
      </c>
      <c r="B63" s="2" t="inlineStr">
        <is>
          <t>₹ lakh per person-year, FY27 level</t>
        </is>
      </c>
      <c r="C63" s="22" t="n">
        <v>3</v>
      </c>
      <c r="I63" s="16" t="inlineStr">
        <is>
          <t>Voice-process median ₹2.3 lakh a year (Hyring 2026 salary model); listings ₹12,000-35,000 a month. Skilled Hindi callers sit above median.</t>
        </is>
      </c>
    </row>
    <row r="64">
      <c r="A64" s="4" t="inlineStr">
        <is>
          <t>Leads verified per caller</t>
        </is>
      </c>
      <c r="B64" s="2" t="inlineStr">
        <is>
          <t>per month</t>
        </is>
      </c>
      <c r="C64" s="15" t="n">
        <v>600</v>
      </c>
      <c r="I64" s="16" t="inlineStr">
        <is>
          <t>~30 verification calls a day, 20 working days.</t>
        </is>
      </c>
    </row>
    <row r="65">
      <c r="A65" s="4" t="inlineStr">
        <is>
          <t>Founding team before launch</t>
        </is>
      </c>
      <c r="B65" s="2" t="inlineStr">
        <is>
          <t>people (already equipped)</t>
        </is>
      </c>
      <c r="C65" s="15" t="n">
        <v>3</v>
      </c>
    </row>
    <row r="66">
      <c r="A66" s="4" t="inlineStr">
        <is>
          <t>Annual pay rise (each April)</t>
        </is>
      </c>
      <c r="B66" s="2" t="inlineStr">
        <is>
          <t>%</t>
        </is>
      </c>
      <c r="C66" s="21" t="n">
        <v>0.09</v>
      </c>
      <c r="I66" s="16" t="inlineStr">
        <is>
          <t>Aon 2026: 9.1% average; Mercer 2026: 9% median (high tech 9.3%).</t>
        </is>
      </c>
    </row>
    <row r="67">
      <c r="A67" s="4" t="inlineStr">
        <is>
          <t>Benefits loading on CTC</t>
        </is>
      </c>
      <c r="B67" s="2" t="inlineStr">
        <is>
          <t>%</t>
        </is>
      </c>
      <c r="C67" s="24" t="n">
        <v>0.05</v>
      </c>
      <c r="I67" s="16" t="inlineStr">
        <is>
          <t>Group health cover and gratuity provision. Employer PF sits inside CTC by Indian convention.</t>
        </is>
      </c>
    </row>
    <row r="69">
      <c r="A69" s="13" t="inlineStr">
        <is>
          <t>Operating costs</t>
        </is>
      </c>
      <c r="B69" s="14" t="n"/>
      <c r="C69" s="14" t="n"/>
      <c r="D69" s="14" t="n"/>
      <c r="E69" s="14" t="n"/>
      <c r="F69" s="14" t="n"/>
      <c r="G69" s="14" t="n"/>
      <c r="H69" s="14" t="n"/>
      <c r="I69" s="14" t="n"/>
    </row>
    <row r="70">
      <c r="A70" s="4" t="inlineStr">
        <is>
          <t>AI + infrastructure cost</t>
        </is>
      </c>
      <c r="B70" s="2" t="inlineStr">
        <is>
          <t>₹ per report</t>
        </is>
      </c>
      <c r="C70" s="25">
        <f>'AI cost'!C$24</f>
        <v>4.86140625</v>
      </c>
      <c r="D70" s="25">
        <f>'AI cost'!D$24</f>
        <v>1.7324031249999998</v>
      </c>
      <c r="E70" s="25">
        <f>'AI cost'!E$24</f>
        <v>1.7324031249999998</v>
      </c>
      <c r="F70" s="25">
        <f>'AI cost'!F$24</f>
        <v>1.7324031249999998</v>
      </c>
      <c r="G70" s="25">
        <f>'AI cost'!G$24</f>
        <v>1.7324031249999998</v>
      </c>
      <c r="I70" s="16" t="inlineStr">
        <is>
          <t>From the AI cost sheet: token counts × Claude API prices × ₹/$ × usage per report.</t>
        </is>
      </c>
    </row>
    <row r="71">
      <c r="A71" s="4" t="inlineStr">
        <is>
          <t>G&amp;A</t>
        </is>
      </c>
      <c r="B71" s="2" t="inlineStr">
        <is>
          <t>% of payroll</t>
        </is>
      </c>
      <c r="C71" s="24" t="n">
        <v>0.15</v>
      </c>
      <c r="I71" s="16" t="inlineStr">
        <is>
          <t>Recruiting, travel, insurance, training, software seats.</t>
        </is>
      </c>
    </row>
    <row r="72">
      <c r="A72" s="4" t="inlineStr">
        <is>
          <t>Office, tools, compliance</t>
        </is>
      </c>
      <c r="B72" s="2" t="inlineStr">
        <is>
          <t>₹ lakh for the year (FY27*: 5 months)</t>
        </is>
      </c>
      <c r="C72" s="22" t="n">
        <v>10</v>
      </c>
      <c r="D72" s="22" t="n">
        <v>50</v>
      </c>
      <c r="E72" s="22" t="n">
        <v>100</v>
      </c>
      <c r="F72" s="22" t="n">
        <v>150</v>
      </c>
      <c r="G72" s="22" t="n">
        <v>200</v>
      </c>
      <c r="I72" s="16" t="inlineStr">
        <is>
          <t>≈ ₹1.5 lakh per head a year (co-working seat, tools) plus statutory audit, legal, company secretary.</t>
        </is>
      </c>
    </row>
    <row r="73">
      <c r="A73" s="4" t="inlineStr">
        <is>
          <t>Payments + partner ops</t>
        </is>
      </c>
      <c r="B73" s="2" t="inlineStr">
        <is>
          <t>% of revenue</t>
        </is>
      </c>
      <c r="C73" s="24" t="n">
        <v>0.03</v>
      </c>
      <c r="I73" s="16" t="inlineStr">
        <is>
          <t>Payment gateway (~2%) on wallet top-ups and SaaS, plus partner incentives.</t>
        </is>
      </c>
    </row>
    <row r="74">
      <c r="A74" s="4" t="inlineStr">
        <is>
          <t>Laptop/device per new hire</t>
        </is>
      </c>
      <c r="B74" s="2" t="inlineStr">
        <is>
          <t>₹ lakh</t>
        </is>
      </c>
      <c r="C74" s="26" t="n">
        <v>0.9</v>
      </c>
      <c r="I74" s="16" t="inlineStr">
        <is>
          <t>Replaced after 36 months. Depreciated straight-line over 36 months (Companies Act Sch. II: 3 years for end-user devices).</t>
        </is>
      </c>
    </row>
    <row r="76">
      <c r="A76" s="13" t="inlineStr">
        <is>
          <t>Tax and working capital</t>
        </is>
      </c>
      <c r="B76" s="14" t="n"/>
      <c r="C76" s="14" t="n"/>
      <c r="D76" s="14" t="n"/>
      <c r="E76" s="14" t="n"/>
      <c r="F76" s="14" t="n"/>
      <c r="G76" s="14" t="n"/>
      <c r="H76" s="14" t="n"/>
      <c r="I76" s="14" t="n"/>
    </row>
    <row r="77">
      <c r="A77" s="4" t="inlineStr">
        <is>
          <t>Corporate tax rate</t>
        </is>
      </c>
      <c r="B77" s="2" t="inlineStr">
        <is>
          <t>% of taxable profit</t>
        </is>
      </c>
      <c r="C77" s="27" t="n">
        <v>0.25168</v>
      </c>
      <c r="I77" s="16" t="inlineStr">
        <is>
          <t>Income-tax Act, 2025 s.200 (old s.115BAA): 22% + 10% surcharge + 4% cess. Losses carried forward up to 8 tax years (s.112).</t>
        </is>
      </c>
    </row>
    <row r="78">
      <c r="A78" s="4" t="inlineStr">
        <is>
          <t>Receivable days: lead fees</t>
        </is>
      </c>
      <c r="B78" s="2" t="inlineStr">
        <is>
          <t>days</t>
        </is>
      </c>
      <c r="C78" s="15" t="n">
        <v>0</v>
      </c>
      <c r="I78" s="16" t="inlineStr">
        <is>
          <t>Installers prepay a lead wallet.</t>
        </is>
      </c>
    </row>
    <row r="79">
      <c r="A79" s="4" t="inlineStr">
        <is>
          <t>Receivable days: success fees</t>
        </is>
      </c>
      <c r="B79" s="2" t="inlineStr">
        <is>
          <t>days</t>
        </is>
      </c>
      <c r="C79" s="15" t="n">
        <v>30</v>
      </c>
    </row>
    <row r="80">
      <c r="A80" s="4" t="inlineStr">
        <is>
          <t>Receivable days: loan fees</t>
        </is>
      </c>
      <c r="B80" s="2" t="inlineStr">
        <is>
          <t>days</t>
        </is>
      </c>
      <c r="C80" s="15" t="n">
        <v>45</v>
      </c>
      <c r="I80" s="16" t="inlineStr">
        <is>
          <t>Lenders pay monthly in arrears.</t>
        </is>
      </c>
    </row>
    <row r="81">
      <c r="A81" s="4" t="inlineStr">
        <is>
          <t>Receivable days: SaaS</t>
        </is>
      </c>
      <c r="B81" s="2" t="inlineStr">
        <is>
          <t>days</t>
        </is>
      </c>
      <c r="C81" s="15" t="n">
        <v>0</v>
      </c>
      <c r="I81" s="16" t="inlineStr">
        <is>
          <t>Billed monthly in advance.</t>
        </is>
      </c>
    </row>
    <row r="82">
      <c r="A82" s="4" t="inlineStr">
        <is>
          <t>Receivable days: state contracts</t>
        </is>
      </c>
      <c r="B82" s="2" t="inlineStr">
        <is>
          <t>days</t>
        </is>
      </c>
      <c r="C82" s="15" t="n">
        <v>120</v>
      </c>
      <c r="I82" s="16" t="inlineStr">
        <is>
          <t>Government payment cycles.</t>
        </is>
      </c>
    </row>
    <row r="83">
      <c r="A83" s="4" t="inlineStr">
        <is>
          <t>TDS deducted by business customers</t>
        </is>
      </c>
      <c r="B83" s="2" t="inlineStr">
        <is>
          <t>% of B2B receipts</t>
        </is>
      </c>
      <c r="C83" s="24" t="n">
        <v>0.02</v>
      </c>
      <c r="I83" s="16" t="inlineStr">
        <is>
          <t>Withheld at source on fees and commissions; refunded or set off about a year later. Modelled as a trailing-12-month balance.</t>
        </is>
      </c>
    </row>
    <row r="85">
      <c r="A85" s="13" t="inlineStr">
        <is>
          <t>Funding</t>
        </is>
      </c>
      <c r="B85" s="14" t="n"/>
      <c r="C85" s="14" t="n"/>
      <c r="D85" s="14" t="n"/>
      <c r="E85" s="14" t="n"/>
      <c r="F85" s="14" t="n"/>
      <c r="G85" s="14" t="n"/>
      <c r="H85" s="14" t="n"/>
      <c r="I85" s="14" t="n"/>
    </row>
    <row r="86">
      <c r="A86" s="4" t="inlineStr">
        <is>
          <t>Founders' capital at launch</t>
        </is>
      </c>
      <c r="B86" s="2" t="inlineStr">
        <is>
          <t>₹ lakh</t>
        </is>
      </c>
      <c r="C86" s="22" t="n">
        <v>20</v>
      </c>
    </row>
    <row r="87">
      <c r="A87" s="4" t="inlineStr">
        <is>
          <t>Seed round (Nov 2026)</t>
        </is>
      </c>
      <c r="B87" s="2" t="inlineStr">
        <is>
          <t>₹ lakh</t>
        </is>
      </c>
      <c r="C87" s="19" t="n">
        <v>600</v>
      </c>
      <c r="I87" s="16" t="inlineStr">
        <is>
          <t>The ask.</t>
        </is>
      </c>
    </row>
    <row r="88">
      <c r="A88" s="4" t="inlineStr">
        <is>
          <t>Equity offered for the seed</t>
        </is>
      </c>
      <c r="B88" s="2" t="inlineStr">
        <is>
          <t>%</t>
        </is>
      </c>
      <c r="C88" s="28" t="n">
        <v>0.15</v>
      </c>
    </row>
    <row r="89">
      <c r="A89" s="4" t="inlineStr">
        <is>
          <t>Series A (optional, not in plan)</t>
        </is>
      </c>
      <c r="B89" s="2" t="inlineStr">
        <is>
          <t>₹ lakh</t>
        </is>
      </c>
      <c r="C89" s="22" t="n">
        <v>0</v>
      </c>
      <c r="I89" s="16" t="inlineStr">
        <is>
          <t>Zero in every scenario: the plan does not depend on it. Enter an amount to test it.</t>
        </is>
      </c>
    </row>
    <row r="90">
      <c r="A90" s="4" t="inlineStr">
        <is>
          <t>Series A month</t>
        </is>
      </c>
      <c r="B90" s="2" t="inlineStr">
        <is>
          <t>month number (1 = Nov-26)</t>
        </is>
      </c>
      <c r="C90" s="15" t="n">
        <v>25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1" workbookViewId="0">
      <selection activeCell="A1" sqref="A1"/>
    </sheetView>
  </sheetViews>
  <sheetFormatPr baseColWidth="8" defaultRowHeight="15"/>
  <cols>
    <col width="54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90" customWidth="1" min="9" max="9"/>
  </cols>
  <sheetData>
    <row r="1">
      <c r="A1" s="1" t="inlineStr">
        <is>
          <t>AI cost per report</t>
        </is>
      </c>
    </row>
    <row r="2">
      <c r="A2" s="2" t="inlineStr">
        <is>
          <t>Claude API list prices (platform.claude.com pricing page, read 30 Oct 2026) × token counts measured against app/server/claude.ts.</t>
        </is>
      </c>
    </row>
    <row r="4">
      <c r="A4" s="11" t="inlineStr">
        <is>
          <t>Model prices</t>
        </is>
      </c>
      <c r="B4" s="11" t="inlineStr">
        <is>
          <t>Unit / note</t>
        </is>
      </c>
      <c r="C4" s="12" t="inlineStr">
        <is>
          <t>Input $/MTok</t>
        </is>
      </c>
      <c r="D4" s="12" t="inlineStr">
        <is>
          <t>Output $/MTok</t>
        </is>
      </c>
      <c r="E4" s="12" t="inlineStr">
        <is>
          <t>Cache-hit x</t>
        </is>
      </c>
      <c r="F4" s="12" t="inlineStr">
        <is>
          <t>Cache-write x</t>
        </is>
      </c>
    </row>
    <row r="5">
      <c r="A5" t="inlineStr">
        <is>
          <t>Claude Opus 5.5 (claude-opus-5-5)</t>
        </is>
      </c>
      <c r="C5" s="29" t="n">
        <v>4</v>
      </c>
      <c r="D5" s="29" t="n">
        <v>20</v>
      </c>
      <c r="E5" s="20" t="n">
        <v>0.05</v>
      </c>
      <c r="F5" s="20" t="n">
        <v>1.25</v>
      </c>
      <c r="I5" s="16" t="inlineStr">
        <is>
          <t>Opus 5.5 and Sonnet 5.5 cache hits are billed at 0.05x input; other models 0.1x. 5-minute cache writes 1.25x.</t>
        </is>
      </c>
    </row>
    <row r="6">
      <c r="A6" t="inlineStr">
        <is>
          <t>Claude Sonnet 5.5 (claude-sonnet-5-5)</t>
        </is>
      </c>
      <c r="C6" s="29" t="n">
        <v>2</v>
      </c>
      <c r="D6" s="29" t="n">
        <v>10</v>
      </c>
      <c r="E6" s="20" t="n">
        <v>0.05</v>
      </c>
      <c r="F6" s="20" t="n">
        <v>1.25</v>
      </c>
    </row>
    <row r="7">
      <c r="A7" t="inlineStr">
        <is>
          <t>Claude Haiku 5.5 (claude-haiku-5-5), prompts ≤100K</t>
        </is>
      </c>
      <c r="C7" s="29" t="n">
        <v>0.1</v>
      </c>
      <c r="D7" s="29" t="n">
        <v>0.5</v>
      </c>
      <c r="E7" s="20" t="n">
        <v>0.1</v>
      </c>
      <c r="F7" s="20" t="n">
        <v>1.25</v>
      </c>
    </row>
    <row r="10">
      <c r="A10" t="inlineStr">
        <is>
          <t>Exchange rate</t>
        </is>
      </c>
      <c r="B10" s="2" t="inlineStr">
        <is>
          <t>₹ per US$</t>
        </is>
      </c>
      <c r="C10" s="29" t="n">
        <v>95</v>
      </c>
      <c r="I10" s="16" t="inlineStr">
        <is>
          <t>RBI-reference close ₹94.93 on 30 Oct 2026; rounded up.</t>
        </is>
      </c>
    </row>
    <row r="11">
      <c r="A11" t="inlineStr">
        <is>
          <t>Document extraction: input tokens per call</t>
        </is>
      </c>
      <c r="B11" s="2" t="inlineStr">
        <is>
          <t>tokens</t>
        </is>
      </c>
      <c r="C11" s="15" t="n">
        <v>3600</v>
      </c>
      <c r="I11" s="16" t="inlineStr">
        <is>
          <t>Bill photo downscaled to 1,800 px (client.ts) ≈ 3,185 visual tokens (⌈w/28⌉×⌈h/28⌉) + schema and instruction.</t>
        </is>
      </c>
    </row>
    <row r="12">
      <c r="A12" t="inlineStr">
        <is>
          <t>Document extraction: output tokens per call</t>
        </is>
      </c>
      <c r="B12" s="2" t="inlineStr">
        <is>
          <t>tokens</t>
        </is>
      </c>
      <c r="C12" s="15" t="n">
        <v>400</v>
      </c>
      <c r="I12" s="16" t="inlineStr">
        <is>
          <t>Strict JSON, 12-27 fields, plus low-effort reasoning.</t>
        </is>
      </c>
    </row>
    <row r="13">
      <c r="A13" t="inlineStr">
        <is>
          <t>Ask Chhat session: input tokens</t>
        </is>
      </c>
      <c r="B13" s="2" t="inlineStr">
        <is>
          <t>tokens</t>
        </is>
      </c>
      <c r="C13" s="15" t="n">
        <v>16500</v>
      </c>
      <c r="I13" s="16" t="inlineStr">
        <is>
          <t>~5 calls × (system + 7 tool schemas + history).</t>
        </is>
      </c>
    </row>
    <row r="14">
      <c r="A14" t="inlineStr">
        <is>
          <t>Ask Chhat session: share of input served from cache</t>
        </is>
      </c>
      <c r="B14" s="2" t="inlineStr">
        <is>
          <t>%</t>
        </is>
      </c>
      <c r="C14" s="24" t="n">
        <v>0.65</v>
      </c>
      <c r="I14" s="16" t="inlineStr">
        <is>
          <t>System prompt and tool schemas repeat on every call.</t>
        </is>
      </c>
    </row>
    <row r="15">
      <c r="A15" t="inlineStr">
        <is>
          <t>Ask Chhat session: output tokens</t>
        </is>
      </c>
      <c r="B15" s="2" t="inlineStr">
        <is>
          <t>tokens</t>
        </is>
      </c>
      <c r="C15" s="15" t="n">
        <v>2000</v>
      </c>
      <c r="I15" s="16" t="inlineStr">
        <is>
          <t>Tool calls plus 2-6 sentence answers.</t>
        </is>
      </c>
    </row>
    <row r="16">
      <c r="A16" t="inlineStr">
        <is>
          <t>Extractions per report</t>
        </is>
      </c>
      <c r="B16" s="2" t="inlineStr">
        <is>
          <t>calls</t>
        </is>
      </c>
      <c r="C16" s="29" t="n">
        <v>0.8</v>
      </c>
      <c r="I16" s="16" t="inlineStr">
        <is>
          <t>60% upload a bill, 15% a quote, 5% a solar bill; the rest use samples or typed units.</t>
        </is>
      </c>
    </row>
    <row r="17">
      <c r="A17" t="inlineStr">
        <is>
          <t>Ask Chhat sessions per report</t>
        </is>
      </c>
      <c r="B17" s="2" t="inlineStr">
        <is>
          <t>sessions</t>
        </is>
      </c>
      <c r="C17" s="29" t="n">
        <v>0.25</v>
      </c>
      <c r="I17" s="16" t="inlineStr">
        <is>
          <t>Assumption.</t>
        </is>
      </c>
    </row>
    <row r="18">
      <c r="A18" t="inlineStr">
        <is>
          <t>Hosting, CDN, serverless, logs</t>
        </is>
      </c>
      <c r="B18" s="2" t="inlineStr">
        <is>
          <t>₹ per report</t>
        </is>
      </c>
      <c r="C18" s="29" t="n">
        <v>0.5</v>
      </c>
      <c r="I18" s="16" t="inlineStr">
        <is>
          <t>Assumption.</t>
        </is>
      </c>
    </row>
    <row r="19">
      <c r="A19" t="inlineStr">
        <is>
          <t>Contingency</t>
        </is>
      </c>
      <c r="B19" s="2" t="inlineStr">
        <is>
          <t>%</t>
        </is>
      </c>
      <c r="C19" s="24" t="n">
        <v>0.25</v>
      </c>
      <c r="I19" s="16" t="inlineStr">
        <is>
          <t>Retries, longer chats, model fallback.</t>
        </is>
      </c>
    </row>
    <row r="20">
      <c r="A20" s="3" t="inlineStr">
        <is>
          <t>₹ per report, Opus 5.5 for everything (today's code)</t>
        </is>
      </c>
      <c r="C20" s="30">
        <f>($C$16*($C$11*$C$5+$C$12*$D$5)/1000000*$C$10+$C$17*($C$13*$C$5*($C$14*$E$5+(1-$C$14)*$F$5)+$C$15*$D$5)/1000000*$C$10+$C$18)*(1+$C$19)</f>
        <v>4.86140625</v>
      </c>
      <c r="I20" s="16" t="inlineStr">
        <is>
          <t>One extraction ≈ ₹2.13 on Opus 5.5 vs ₹0.05 on Haiku 5.5; one chat session ≈ ₹6.75 on Opus 5.5 vs ₹3.37 on Sonnet 5.5.</t>
        </is>
      </c>
    </row>
    <row r="21">
      <c r="A21" s="3" t="inlineStr">
        <is>
          <t>₹ per report, routed: Haiku 5.5 reads documents, Sonnet 5.5 chats</t>
        </is>
      </c>
      <c r="C21" s="30">
        <f>($C$16*($C$11*$C$7+$C$12*$D$7)/1000000*$C$10+$C$17*($C$13*$C$6*($C$14*$E$6+(1-$C$14)*$F$6)+$C$15*$D$6)/1000000*$C$10+$C$18)*(1+$C$19)</f>
        <v>1.7324031249999998</v>
      </c>
    </row>
    <row r="22">
      <c r="A22" s="11" t="inlineStr">
        <is>
          <t>By year</t>
        </is>
      </c>
      <c r="B22" s="11" t="inlineStr">
        <is>
          <t>Unit / note</t>
        </is>
      </c>
      <c r="C22" s="12" t="inlineStr">
        <is>
          <t>FY27*</t>
        </is>
      </c>
      <c r="D22" s="12" t="inlineStr">
        <is>
          <t>FY28</t>
        </is>
      </c>
      <c r="E22" s="12" t="inlineStr">
        <is>
          <t>FY29</t>
        </is>
      </c>
      <c r="F22" s="12" t="inlineStr">
        <is>
          <t>FY30</t>
        </is>
      </c>
      <c r="G22" s="12" t="inlineStr">
        <is>
          <t>FY31</t>
        </is>
      </c>
    </row>
    <row r="23">
      <c r="A23" t="inlineStr">
        <is>
          <t>Routing live? (1 = yes)</t>
        </is>
      </c>
      <c r="B23" s="2" t="inlineStr">
        <is>
          <t>FY28 onward, after an accuracy eval on real bills</t>
        </is>
      </c>
      <c r="C23" s="15" t="n">
        <v>0</v>
      </c>
      <c r="D23" s="15" t="n">
        <v>1</v>
      </c>
      <c r="E23" s="15" t="n">
        <v>1</v>
      </c>
      <c r="F23" s="15" t="n">
        <v>1</v>
      </c>
      <c r="G23" s="15" t="n">
        <v>1</v>
      </c>
    </row>
    <row r="24">
      <c r="A24" s="3" t="inlineStr">
        <is>
          <t>AI + infrastructure cost per report</t>
        </is>
      </c>
      <c r="B24" s="2" t="inlineStr">
        <is>
          <t>₹</t>
        </is>
      </c>
      <c r="C24" s="30">
        <f>IF(C23=1,$C$21,$C$20)</f>
        <v>4.86140625</v>
      </c>
      <c r="D24" s="30">
        <f>IF(D23=1,$C$21,$C$20)</f>
        <v>1.7324031249999998</v>
      </c>
      <c r="E24" s="30">
        <f>IF(E23=1,$C$21,$C$20)</f>
        <v>1.7324031249999998</v>
      </c>
      <c r="F24" s="30">
        <f>IF(F23=1,$C$21,$C$20)</f>
        <v>1.7324031249999998</v>
      </c>
      <c r="G24" s="30">
        <f>IF(G23=1,$C$21,$C$20)</f>
        <v>1.7324031249999998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C119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1" t="inlineStr">
        <is>
          <t>Monthly engine: Base case</t>
        </is>
      </c>
    </row>
    <row r="2">
      <c r="A2" s="2" t="inlineStr">
        <is>
          <t>Plan case. Months run Nov 2026 to Mar 2031. Annual totals and the tax computation are below the monthly block.</t>
        </is>
      </c>
    </row>
    <row r="3">
      <c r="A3" s="11" t="inlineStr">
        <is>
          <t>₹ lakh unless stated</t>
        </is>
      </c>
      <c r="B3" s="11" t="inlineStr">
        <is>
          <t>Unit / note</t>
        </is>
      </c>
      <c r="C3" s="12" t="inlineStr">
        <is>
          <t>Nov-26</t>
        </is>
      </c>
      <c r="D3" s="12" t="inlineStr">
        <is>
          <t>Dec-26</t>
        </is>
      </c>
      <c r="E3" s="12" t="inlineStr">
        <is>
          <t>Jan-27</t>
        </is>
      </c>
      <c r="F3" s="12" t="inlineStr">
        <is>
          <t>Feb-27</t>
        </is>
      </c>
      <c r="G3" s="12" t="inlineStr">
        <is>
          <t>Mar-27</t>
        </is>
      </c>
      <c r="H3" s="12" t="inlineStr">
        <is>
          <t>Apr-27</t>
        </is>
      </c>
      <c r="I3" s="12" t="inlineStr">
        <is>
          <t>May-27</t>
        </is>
      </c>
      <c r="J3" s="12" t="inlineStr">
        <is>
          <t>Jun-27</t>
        </is>
      </c>
      <c r="K3" s="12" t="inlineStr">
        <is>
          <t>Jul-27</t>
        </is>
      </c>
      <c r="L3" s="12" t="inlineStr">
        <is>
          <t>Aug-27</t>
        </is>
      </c>
      <c r="M3" s="12" t="inlineStr">
        <is>
          <t>Sep-27</t>
        </is>
      </c>
      <c r="N3" s="12" t="inlineStr">
        <is>
          <t>Oct-27</t>
        </is>
      </c>
      <c r="O3" s="12" t="inlineStr">
        <is>
          <t>Nov-27</t>
        </is>
      </c>
      <c r="P3" s="12" t="inlineStr">
        <is>
          <t>Dec-27</t>
        </is>
      </c>
      <c r="Q3" s="12" t="inlineStr">
        <is>
          <t>Jan-28</t>
        </is>
      </c>
      <c r="R3" s="12" t="inlineStr">
        <is>
          <t>Feb-28</t>
        </is>
      </c>
      <c r="S3" s="12" t="inlineStr">
        <is>
          <t>Mar-28</t>
        </is>
      </c>
      <c r="T3" s="12" t="inlineStr">
        <is>
          <t>Apr-28</t>
        </is>
      </c>
      <c r="U3" s="12" t="inlineStr">
        <is>
          <t>May-28</t>
        </is>
      </c>
      <c r="V3" s="12" t="inlineStr">
        <is>
          <t>Jun-28</t>
        </is>
      </c>
      <c r="W3" s="12" t="inlineStr">
        <is>
          <t>Jul-28</t>
        </is>
      </c>
      <c r="X3" s="12" t="inlineStr">
        <is>
          <t>Aug-28</t>
        </is>
      </c>
      <c r="Y3" s="12" t="inlineStr">
        <is>
          <t>Sep-28</t>
        </is>
      </c>
      <c r="Z3" s="12" t="inlineStr">
        <is>
          <t>Oct-28</t>
        </is>
      </c>
      <c r="AA3" s="12" t="inlineStr">
        <is>
          <t>Nov-28</t>
        </is>
      </c>
      <c r="AB3" s="12" t="inlineStr">
        <is>
          <t>Dec-28</t>
        </is>
      </c>
      <c r="AC3" s="12" t="inlineStr">
        <is>
          <t>Jan-29</t>
        </is>
      </c>
      <c r="AD3" s="12" t="inlineStr">
        <is>
          <t>Feb-29</t>
        </is>
      </c>
      <c r="AE3" s="12" t="inlineStr">
        <is>
          <t>Mar-29</t>
        </is>
      </c>
      <c r="AF3" s="12" t="inlineStr">
        <is>
          <t>Apr-29</t>
        </is>
      </c>
      <c r="AG3" s="12" t="inlineStr">
        <is>
          <t>May-29</t>
        </is>
      </c>
      <c r="AH3" s="12" t="inlineStr">
        <is>
          <t>Jun-29</t>
        </is>
      </c>
      <c r="AI3" s="12" t="inlineStr">
        <is>
          <t>Jul-29</t>
        </is>
      </c>
      <c r="AJ3" s="12" t="inlineStr">
        <is>
          <t>Aug-29</t>
        </is>
      </c>
      <c r="AK3" s="12" t="inlineStr">
        <is>
          <t>Sep-29</t>
        </is>
      </c>
      <c r="AL3" s="12" t="inlineStr">
        <is>
          <t>Oct-29</t>
        </is>
      </c>
      <c r="AM3" s="12" t="inlineStr">
        <is>
          <t>Nov-29</t>
        </is>
      </c>
      <c r="AN3" s="12" t="inlineStr">
        <is>
          <t>Dec-29</t>
        </is>
      </c>
      <c r="AO3" s="12" t="inlineStr">
        <is>
          <t>Jan-30</t>
        </is>
      </c>
      <c r="AP3" s="12" t="inlineStr">
        <is>
          <t>Feb-30</t>
        </is>
      </c>
      <c r="AQ3" s="12" t="inlineStr">
        <is>
          <t>Mar-30</t>
        </is>
      </c>
      <c r="AR3" s="12" t="inlineStr">
        <is>
          <t>Apr-30</t>
        </is>
      </c>
      <c r="AS3" s="12" t="inlineStr">
        <is>
          <t>May-30</t>
        </is>
      </c>
      <c r="AT3" s="12" t="inlineStr">
        <is>
          <t>Jun-30</t>
        </is>
      </c>
      <c r="AU3" s="12" t="inlineStr">
        <is>
          <t>Jul-30</t>
        </is>
      </c>
      <c r="AV3" s="12" t="inlineStr">
        <is>
          <t>Aug-30</t>
        </is>
      </c>
      <c r="AW3" s="12" t="inlineStr">
        <is>
          <t>Sep-30</t>
        </is>
      </c>
      <c r="AX3" s="12" t="inlineStr">
        <is>
          <t>Oct-30</t>
        </is>
      </c>
      <c r="AY3" s="12" t="inlineStr">
        <is>
          <t>Nov-30</t>
        </is>
      </c>
      <c r="AZ3" s="12" t="inlineStr">
        <is>
          <t>Dec-30</t>
        </is>
      </c>
      <c r="BA3" s="12" t="inlineStr">
        <is>
          <t>Jan-31</t>
        </is>
      </c>
      <c r="BB3" s="12" t="inlineStr">
        <is>
          <t>Feb-31</t>
        </is>
      </c>
      <c r="BC3" s="12" t="inlineStr">
        <is>
          <t>Mar-31</t>
        </is>
      </c>
    </row>
    <row r="4">
      <c r="A4" s="4" t="inlineStr">
        <is>
          <t>Financial year (1 = FY27*)</t>
        </is>
      </c>
      <c r="B4" s="2" t="inlineStr">
        <is>
          <t>index</t>
        </is>
      </c>
      <c r="C4" s="31" t="n">
        <v>1</v>
      </c>
      <c r="D4" s="31" t="n">
        <v>1</v>
      </c>
      <c r="E4" s="31" t="n">
        <v>1</v>
      </c>
      <c r="F4" s="31" t="n">
        <v>1</v>
      </c>
      <c r="G4" s="31" t="n">
        <v>1</v>
      </c>
      <c r="H4" s="31" t="n">
        <v>2</v>
      </c>
      <c r="I4" s="31" t="n">
        <v>2</v>
      </c>
      <c r="J4" s="31" t="n">
        <v>2</v>
      </c>
      <c r="K4" s="31" t="n">
        <v>2</v>
      </c>
      <c r="L4" s="31" t="n">
        <v>2</v>
      </c>
      <c r="M4" s="31" t="n">
        <v>2</v>
      </c>
      <c r="N4" s="31" t="n">
        <v>2</v>
      </c>
      <c r="O4" s="31" t="n">
        <v>2</v>
      </c>
      <c r="P4" s="31" t="n">
        <v>2</v>
      </c>
      <c r="Q4" s="31" t="n">
        <v>2</v>
      </c>
      <c r="R4" s="31" t="n">
        <v>2</v>
      </c>
      <c r="S4" s="31" t="n">
        <v>2</v>
      </c>
      <c r="T4" s="31" t="n">
        <v>3</v>
      </c>
      <c r="U4" s="31" t="n">
        <v>3</v>
      </c>
      <c r="V4" s="31" t="n">
        <v>3</v>
      </c>
      <c r="W4" s="31" t="n">
        <v>3</v>
      </c>
      <c r="X4" s="31" t="n">
        <v>3</v>
      </c>
      <c r="Y4" s="31" t="n">
        <v>3</v>
      </c>
      <c r="Z4" s="31" t="n">
        <v>3</v>
      </c>
      <c r="AA4" s="31" t="n">
        <v>3</v>
      </c>
      <c r="AB4" s="31" t="n">
        <v>3</v>
      </c>
      <c r="AC4" s="31" t="n">
        <v>3</v>
      </c>
      <c r="AD4" s="31" t="n">
        <v>3</v>
      </c>
      <c r="AE4" s="31" t="n">
        <v>3</v>
      </c>
      <c r="AF4" s="31" t="n">
        <v>4</v>
      </c>
      <c r="AG4" s="31" t="n">
        <v>4</v>
      </c>
      <c r="AH4" s="31" t="n">
        <v>4</v>
      </c>
      <c r="AI4" s="31" t="n">
        <v>4</v>
      </c>
      <c r="AJ4" s="31" t="n">
        <v>4</v>
      </c>
      <c r="AK4" s="31" t="n">
        <v>4</v>
      </c>
      <c r="AL4" s="31" t="n">
        <v>4</v>
      </c>
      <c r="AM4" s="31" t="n">
        <v>4</v>
      </c>
      <c r="AN4" s="31" t="n">
        <v>4</v>
      </c>
      <c r="AO4" s="31" t="n">
        <v>4</v>
      </c>
      <c r="AP4" s="31" t="n">
        <v>4</v>
      </c>
      <c r="AQ4" s="31" t="n">
        <v>4</v>
      </c>
      <c r="AR4" s="31" t="n">
        <v>5</v>
      </c>
      <c r="AS4" s="31" t="n">
        <v>5</v>
      </c>
      <c r="AT4" s="31" t="n">
        <v>5</v>
      </c>
      <c r="AU4" s="31" t="n">
        <v>5</v>
      </c>
      <c r="AV4" s="31" t="n">
        <v>5</v>
      </c>
      <c r="AW4" s="31" t="n">
        <v>5</v>
      </c>
      <c r="AX4" s="31" t="n">
        <v>5</v>
      </c>
      <c r="AY4" s="31" t="n">
        <v>5</v>
      </c>
      <c r="AZ4" s="31" t="n">
        <v>5</v>
      </c>
      <c r="BA4" s="31" t="n">
        <v>5</v>
      </c>
      <c r="BB4" s="31" t="n">
        <v>5</v>
      </c>
      <c r="BC4" s="31" t="n">
        <v>5</v>
      </c>
    </row>
    <row r="5">
      <c r="A5" s="4" t="inlineStr">
        <is>
          <t>Month of financial year</t>
        </is>
      </c>
      <c r="B5" s="2" t="inlineStr">
        <is>
          <t>index</t>
        </is>
      </c>
      <c r="C5" s="31" t="n">
        <v>1</v>
      </c>
      <c r="D5" s="31" t="n">
        <v>2</v>
      </c>
      <c r="E5" s="31" t="n">
        <v>3</v>
      </c>
      <c r="F5" s="31" t="n">
        <v>4</v>
      </c>
      <c r="G5" s="31" t="n">
        <v>5</v>
      </c>
      <c r="H5" s="31" t="n">
        <v>1</v>
      </c>
      <c r="I5" s="31" t="n">
        <v>2</v>
      </c>
      <c r="J5" s="31" t="n">
        <v>3</v>
      </c>
      <c r="K5" s="31" t="n">
        <v>4</v>
      </c>
      <c r="L5" s="31" t="n">
        <v>5</v>
      </c>
      <c r="M5" s="31" t="n">
        <v>6</v>
      </c>
      <c r="N5" s="31" t="n">
        <v>7</v>
      </c>
      <c r="O5" s="31" t="n">
        <v>8</v>
      </c>
      <c r="P5" s="31" t="n">
        <v>9</v>
      </c>
      <c r="Q5" s="31" t="n">
        <v>10</v>
      </c>
      <c r="R5" s="31" t="n">
        <v>11</v>
      </c>
      <c r="S5" s="31" t="n">
        <v>12</v>
      </c>
      <c r="T5" s="31" t="n">
        <v>1</v>
      </c>
      <c r="U5" s="31" t="n">
        <v>2</v>
      </c>
      <c r="V5" s="31" t="n">
        <v>3</v>
      </c>
      <c r="W5" s="31" t="n">
        <v>4</v>
      </c>
      <c r="X5" s="31" t="n">
        <v>5</v>
      </c>
      <c r="Y5" s="31" t="n">
        <v>6</v>
      </c>
      <c r="Z5" s="31" t="n">
        <v>7</v>
      </c>
      <c r="AA5" s="31" t="n">
        <v>8</v>
      </c>
      <c r="AB5" s="31" t="n">
        <v>9</v>
      </c>
      <c r="AC5" s="31" t="n">
        <v>10</v>
      </c>
      <c r="AD5" s="31" t="n">
        <v>11</v>
      </c>
      <c r="AE5" s="31" t="n">
        <v>12</v>
      </c>
      <c r="AF5" s="31" t="n">
        <v>1</v>
      </c>
      <c r="AG5" s="31" t="n">
        <v>2</v>
      </c>
      <c r="AH5" s="31" t="n">
        <v>3</v>
      </c>
      <c r="AI5" s="31" t="n">
        <v>4</v>
      </c>
      <c r="AJ5" s="31" t="n">
        <v>5</v>
      </c>
      <c r="AK5" s="31" t="n">
        <v>6</v>
      </c>
      <c r="AL5" s="31" t="n">
        <v>7</v>
      </c>
      <c r="AM5" s="31" t="n">
        <v>8</v>
      </c>
      <c r="AN5" s="31" t="n">
        <v>9</v>
      </c>
      <c r="AO5" s="31" t="n">
        <v>10</v>
      </c>
      <c r="AP5" s="31" t="n">
        <v>11</v>
      </c>
      <c r="AQ5" s="31" t="n">
        <v>12</v>
      </c>
      <c r="AR5" s="31" t="n">
        <v>1</v>
      </c>
      <c r="AS5" s="31" t="n">
        <v>2</v>
      </c>
      <c r="AT5" s="31" t="n">
        <v>3</v>
      </c>
      <c r="AU5" s="31" t="n">
        <v>4</v>
      </c>
      <c r="AV5" s="31" t="n">
        <v>5</v>
      </c>
      <c r="AW5" s="31" t="n">
        <v>6</v>
      </c>
      <c r="AX5" s="31" t="n">
        <v>7</v>
      </c>
      <c r="AY5" s="31" t="n">
        <v>8</v>
      </c>
      <c r="AZ5" s="31" t="n">
        <v>9</v>
      </c>
      <c r="BA5" s="31" t="n">
        <v>10</v>
      </c>
      <c r="BB5" s="31" t="n">
        <v>11</v>
      </c>
      <c r="BC5" s="31" t="n">
        <v>12</v>
      </c>
    </row>
    <row r="6">
      <c r="A6" s="4" t="inlineStr">
        <is>
          <t>Months in financial year</t>
        </is>
      </c>
      <c r="B6" s="2" t="inlineStr">
        <is>
          <t>count</t>
        </is>
      </c>
      <c r="C6" s="32">
        <f>INDEX(Assumptions!$C$6:$G$6,1,C$4)</f>
        <v>5.0</v>
      </c>
      <c r="D6" s="32">
        <f>INDEX(Assumptions!$C$6:$G$6,1,D$4)</f>
        <v>5.0</v>
      </c>
      <c r="E6" s="32">
        <f>INDEX(Assumptions!$C$6:$G$6,1,E$4)</f>
        <v>5.0</v>
      </c>
      <c r="F6" s="32">
        <f>INDEX(Assumptions!$C$6:$G$6,1,F$4)</f>
        <v>5.0</v>
      </c>
      <c r="G6" s="32">
        <f>INDEX(Assumptions!$C$6:$G$6,1,G$4)</f>
        <v>5.0</v>
      </c>
      <c r="H6" s="32">
        <f>INDEX(Assumptions!$C$6:$G$6,1,H$4)</f>
        <v>12.0</v>
      </c>
      <c r="I6" s="32">
        <f>INDEX(Assumptions!$C$6:$G$6,1,I$4)</f>
        <v>12.0</v>
      </c>
      <c r="J6" s="32">
        <f>INDEX(Assumptions!$C$6:$G$6,1,J$4)</f>
        <v>12.0</v>
      </c>
      <c r="K6" s="32">
        <f>INDEX(Assumptions!$C$6:$G$6,1,K$4)</f>
        <v>12.0</v>
      </c>
      <c r="L6" s="32">
        <f>INDEX(Assumptions!$C$6:$G$6,1,L$4)</f>
        <v>12.0</v>
      </c>
      <c r="M6" s="32">
        <f>INDEX(Assumptions!$C$6:$G$6,1,M$4)</f>
        <v>12.0</v>
      </c>
      <c r="N6" s="32">
        <f>INDEX(Assumptions!$C$6:$G$6,1,N$4)</f>
        <v>12.0</v>
      </c>
      <c r="O6" s="32">
        <f>INDEX(Assumptions!$C$6:$G$6,1,O$4)</f>
        <v>12.0</v>
      </c>
      <c r="P6" s="32">
        <f>INDEX(Assumptions!$C$6:$G$6,1,P$4)</f>
        <v>12.0</v>
      </c>
      <c r="Q6" s="32">
        <f>INDEX(Assumptions!$C$6:$G$6,1,Q$4)</f>
        <v>12.0</v>
      </c>
      <c r="R6" s="32">
        <f>INDEX(Assumptions!$C$6:$G$6,1,R$4)</f>
        <v>12.0</v>
      </c>
      <c r="S6" s="32">
        <f>INDEX(Assumptions!$C$6:$G$6,1,S$4)</f>
        <v>12.0</v>
      </c>
      <c r="T6" s="32">
        <f>INDEX(Assumptions!$C$6:$G$6,1,T$4)</f>
        <v>12.0</v>
      </c>
      <c r="U6" s="32">
        <f>INDEX(Assumptions!$C$6:$G$6,1,U$4)</f>
        <v>12.0</v>
      </c>
      <c r="V6" s="32">
        <f>INDEX(Assumptions!$C$6:$G$6,1,V$4)</f>
        <v>12.0</v>
      </c>
      <c r="W6" s="32">
        <f>INDEX(Assumptions!$C$6:$G$6,1,W$4)</f>
        <v>12.0</v>
      </c>
      <c r="X6" s="32">
        <f>INDEX(Assumptions!$C$6:$G$6,1,X$4)</f>
        <v>12.0</v>
      </c>
      <c r="Y6" s="32">
        <f>INDEX(Assumptions!$C$6:$G$6,1,Y$4)</f>
        <v>12.0</v>
      </c>
      <c r="Z6" s="32">
        <f>INDEX(Assumptions!$C$6:$G$6,1,Z$4)</f>
        <v>12.0</v>
      </c>
      <c r="AA6" s="32">
        <f>INDEX(Assumptions!$C$6:$G$6,1,AA$4)</f>
        <v>12.0</v>
      </c>
      <c r="AB6" s="32">
        <f>INDEX(Assumptions!$C$6:$G$6,1,AB$4)</f>
        <v>12.0</v>
      </c>
      <c r="AC6" s="32">
        <f>INDEX(Assumptions!$C$6:$G$6,1,AC$4)</f>
        <v>12.0</v>
      </c>
      <c r="AD6" s="32">
        <f>INDEX(Assumptions!$C$6:$G$6,1,AD$4)</f>
        <v>12.0</v>
      </c>
      <c r="AE6" s="32">
        <f>INDEX(Assumptions!$C$6:$G$6,1,AE$4)</f>
        <v>12.0</v>
      </c>
      <c r="AF6" s="32">
        <f>INDEX(Assumptions!$C$6:$G$6,1,AF$4)</f>
        <v>12.0</v>
      </c>
      <c r="AG6" s="32">
        <f>INDEX(Assumptions!$C$6:$G$6,1,AG$4)</f>
        <v>12.0</v>
      </c>
      <c r="AH6" s="32">
        <f>INDEX(Assumptions!$C$6:$G$6,1,AH$4)</f>
        <v>12.0</v>
      </c>
      <c r="AI6" s="32">
        <f>INDEX(Assumptions!$C$6:$G$6,1,AI$4)</f>
        <v>12.0</v>
      </c>
      <c r="AJ6" s="32">
        <f>INDEX(Assumptions!$C$6:$G$6,1,AJ$4)</f>
        <v>12.0</v>
      </c>
      <c r="AK6" s="32">
        <f>INDEX(Assumptions!$C$6:$G$6,1,AK$4)</f>
        <v>12.0</v>
      </c>
      <c r="AL6" s="32">
        <f>INDEX(Assumptions!$C$6:$G$6,1,AL$4)</f>
        <v>12.0</v>
      </c>
      <c r="AM6" s="32">
        <f>INDEX(Assumptions!$C$6:$G$6,1,AM$4)</f>
        <v>12.0</v>
      </c>
      <c r="AN6" s="32">
        <f>INDEX(Assumptions!$C$6:$G$6,1,AN$4)</f>
        <v>12.0</v>
      </c>
      <c r="AO6" s="32">
        <f>INDEX(Assumptions!$C$6:$G$6,1,AO$4)</f>
        <v>12.0</v>
      </c>
      <c r="AP6" s="32">
        <f>INDEX(Assumptions!$C$6:$G$6,1,AP$4)</f>
        <v>12.0</v>
      </c>
      <c r="AQ6" s="32">
        <f>INDEX(Assumptions!$C$6:$G$6,1,AQ$4)</f>
        <v>12.0</v>
      </c>
      <c r="AR6" s="32">
        <f>INDEX(Assumptions!$C$6:$G$6,1,AR$4)</f>
        <v>12.0</v>
      </c>
      <c r="AS6" s="32">
        <f>INDEX(Assumptions!$C$6:$G$6,1,AS$4)</f>
        <v>12.0</v>
      </c>
      <c r="AT6" s="32">
        <f>INDEX(Assumptions!$C$6:$G$6,1,AT$4)</f>
        <v>12.0</v>
      </c>
      <c r="AU6" s="32">
        <f>INDEX(Assumptions!$C$6:$G$6,1,AU$4)</f>
        <v>12.0</v>
      </c>
      <c r="AV6" s="32">
        <f>INDEX(Assumptions!$C$6:$G$6,1,AV$4)</f>
        <v>12.0</v>
      </c>
      <c r="AW6" s="32">
        <f>INDEX(Assumptions!$C$6:$G$6,1,AW$4)</f>
        <v>12.0</v>
      </c>
      <c r="AX6" s="32">
        <f>INDEX(Assumptions!$C$6:$G$6,1,AX$4)</f>
        <v>12.0</v>
      </c>
      <c r="AY6" s="32">
        <f>INDEX(Assumptions!$C$6:$G$6,1,AY$4)</f>
        <v>12.0</v>
      </c>
      <c r="AZ6" s="32">
        <f>INDEX(Assumptions!$C$6:$G$6,1,AZ$4)</f>
        <v>12.0</v>
      </c>
      <c r="BA6" s="32">
        <f>INDEX(Assumptions!$C$6:$G$6,1,BA$4)</f>
        <v>12.0</v>
      </c>
      <c r="BB6" s="32">
        <f>INDEX(Assumptions!$C$6:$G$6,1,BB$4)</f>
        <v>12.0</v>
      </c>
      <c r="BC6" s="32">
        <f>INDEX(Assumptions!$C$6:$G$6,1,BC$4)</f>
        <v>12.0</v>
      </c>
    </row>
    <row r="7">
      <c r="A7" s="4" t="inlineStr">
        <is>
          <t>Share of the year's reports</t>
        </is>
      </c>
      <c r="B7" s="2" t="inlineStr">
        <is>
          <t>ramp profile</t>
        </is>
      </c>
      <c r="C7" s="33" t="n">
        <v>0.08</v>
      </c>
      <c r="D7" s="33" t="n">
        <v>0.14</v>
      </c>
      <c r="E7" s="33" t="n">
        <v>0.2</v>
      </c>
      <c r="F7" s="33" t="n">
        <v>0.26</v>
      </c>
      <c r="G7" s="33" t="n">
        <v>0.32</v>
      </c>
      <c r="H7" s="33" t="n">
        <v>0.03650360155005757</v>
      </c>
      <c r="I7" s="33" t="n">
        <v>0.04164102894141774</v>
      </c>
      <c r="J7" s="33" t="n">
        <v>0.04750148526912284</v>
      </c>
      <c r="K7" s="33" t="n">
        <v>0.05418672785312475</v>
      </c>
      <c r="L7" s="33" t="n">
        <v>0.0618128350891211</v>
      </c>
      <c r="M7" s="33" t="n">
        <v>0.07051222196164679</v>
      </c>
      <c r="N7" s="33" t="n">
        <v>0.08043593921553678</v>
      </c>
      <c r="O7" s="33" t="n">
        <v>0.09175629610714404</v>
      </c>
      <c r="P7" s="33" t="n">
        <v>0.104669852275134</v>
      </c>
      <c r="Q7" s="33" t="n">
        <v>0.1194008306798402</v>
      </c>
      <c r="R7" s="33" t="n">
        <v>0.1362050108713369</v>
      </c>
      <c r="S7" s="33" t="n">
        <v>0.1553741701865172</v>
      </c>
      <c r="T7" s="33" t="n">
        <v>0.05548296397380414</v>
      </c>
      <c r="U7" s="33" t="n">
        <v>0.05943766497912224</v>
      </c>
      <c r="V7" s="33" t="n">
        <v>0.06367424818613468</v>
      </c>
      <c r="W7" s="33" t="n">
        <v>0.06821280552480663</v>
      </c>
      <c r="X7" s="33" t="n">
        <v>0.0730748610327259</v>
      </c>
      <c r="Y7" s="33" t="n">
        <v>0.07828347293251636</v>
      </c>
      <c r="Z7" s="33" t="n">
        <v>0.08386334298510013</v>
      </c>
      <c r="AA7" s="33" t="n">
        <v>0.08984093363741461</v>
      </c>
      <c r="AB7" s="33" t="n">
        <v>0.09624459352015535</v>
      </c>
      <c r="AC7" s="33" t="n">
        <v>0.1031046918907164</v>
      </c>
      <c r="AD7" s="33" t="n">
        <v>0.1104537626589209</v>
      </c>
      <c r="AE7" s="33" t="n">
        <v>0.1183266586785827</v>
      </c>
      <c r="AF7" s="33" t="n">
        <v>0.06007448072342646</v>
      </c>
      <c r="AG7" s="33" t="n">
        <v>0.06354131707815498</v>
      </c>
      <c r="AH7" s="33" t="n">
        <v>0.06720822098512422</v>
      </c>
      <c r="AI7" s="33" t="n">
        <v>0.0710867381365342</v>
      </c>
      <c r="AJ7" s="33" t="n">
        <v>0.07518908051457993</v>
      </c>
      <c r="AK7" s="33" t="n">
        <v>0.07952816484236017</v>
      </c>
      <c r="AL7" s="33" t="n">
        <v>0.08411765325374851</v>
      </c>
      <c r="AM7" s="33" t="n">
        <v>0.08897199631028072</v>
      </c>
      <c r="AN7" s="33" t="n">
        <v>0.09410647850050248</v>
      </c>
      <c r="AO7" s="33" t="n">
        <v>0.0995372663650374</v>
      </c>
      <c r="AP7" s="33" t="n">
        <v>0.1052814593989032</v>
      </c>
      <c r="AQ7" s="33" t="n">
        <v>0.1113571438913479</v>
      </c>
      <c r="AR7" s="33" t="n">
        <v>0.07150579438002341</v>
      </c>
      <c r="AS7" s="33" t="n">
        <v>0.07346565763083227</v>
      </c>
      <c r="AT7" s="33" t="n">
        <v>0.07547923770270679</v>
      </c>
      <c r="AU7" s="33" t="n">
        <v>0.07754800689064729</v>
      </c>
      <c r="AV7" s="33" t="n">
        <v>0.0796734778429833</v>
      </c>
      <c r="AW7" s="33" t="n">
        <v>0.081857204667396</v>
      </c>
      <c r="AX7" s="33" t="n">
        <v>0.08410078406725492</v>
      </c>
      <c r="AY7" s="33" t="n">
        <v>0.08640585650909988</v>
      </c>
      <c r="AZ7" s="33" t="n">
        <v>0.08877410742212179</v>
      </c>
      <c r="BA7" s="33" t="n">
        <v>0.09120726843051945</v>
      </c>
      <c r="BB7" s="33" t="n">
        <v>0.09370711861963325</v>
      </c>
      <c r="BC7" s="33" t="n">
        <v>0.09627548583678162</v>
      </c>
    </row>
    <row r="8">
      <c r="A8" s="4" t="inlineStr">
        <is>
          <t>Month number</t>
        </is>
      </c>
      <c r="B8" s="2" t="inlineStr">
        <is>
          <t>1 = Nov-26</t>
        </is>
      </c>
      <c r="C8" s="31" t="n">
        <v>1</v>
      </c>
      <c r="D8" s="31" t="n">
        <v>2</v>
      </c>
      <c r="E8" s="31" t="n">
        <v>3</v>
      </c>
      <c r="F8" s="31" t="n">
        <v>4</v>
      </c>
      <c r="G8" s="31" t="n">
        <v>5</v>
      </c>
      <c r="H8" s="31" t="n">
        <v>6</v>
      </c>
      <c r="I8" s="31" t="n">
        <v>7</v>
      </c>
      <c r="J8" s="31" t="n">
        <v>8</v>
      </c>
      <c r="K8" s="31" t="n">
        <v>9</v>
      </c>
      <c r="L8" s="31" t="n">
        <v>10</v>
      </c>
      <c r="M8" s="31" t="n">
        <v>11</v>
      </c>
      <c r="N8" s="31" t="n">
        <v>12</v>
      </c>
      <c r="O8" s="31" t="n">
        <v>13</v>
      </c>
      <c r="P8" s="31" t="n">
        <v>14</v>
      </c>
      <c r="Q8" s="31" t="n">
        <v>15</v>
      </c>
      <c r="R8" s="31" t="n">
        <v>16</v>
      </c>
      <c r="S8" s="31" t="n">
        <v>17</v>
      </c>
      <c r="T8" s="31" t="n">
        <v>18</v>
      </c>
      <c r="U8" s="31" t="n">
        <v>19</v>
      </c>
      <c r="V8" s="31" t="n">
        <v>20</v>
      </c>
      <c r="W8" s="31" t="n">
        <v>21</v>
      </c>
      <c r="X8" s="31" t="n">
        <v>22</v>
      </c>
      <c r="Y8" s="31" t="n">
        <v>23</v>
      </c>
      <c r="Z8" s="31" t="n">
        <v>24</v>
      </c>
      <c r="AA8" s="31" t="n">
        <v>25</v>
      </c>
      <c r="AB8" s="31" t="n">
        <v>26</v>
      </c>
      <c r="AC8" s="31" t="n">
        <v>27</v>
      </c>
      <c r="AD8" s="31" t="n">
        <v>28</v>
      </c>
      <c r="AE8" s="31" t="n">
        <v>29</v>
      </c>
      <c r="AF8" s="31" t="n">
        <v>30</v>
      </c>
      <c r="AG8" s="31" t="n">
        <v>31</v>
      </c>
      <c r="AH8" s="31" t="n">
        <v>32</v>
      </c>
      <c r="AI8" s="31" t="n">
        <v>33</v>
      </c>
      <c r="AJ8" s="31" t="n">
        <v>34</v>
      </c>
      <c r="AK8" s="31" t="n">
        <v>35</v>
      </c>
      <c r="AL8" s="31" t="n">
        <v>36</v>
      </c>
      <c r="AM8" s="31" t="n">
        <v>37</v>
      </c>
      <c r="AN8" s="31" t="n">
        <v>38</v>
      </c>
      <c r="AO8" s="31" t="n">
        <v>39</v>
      </c>
      <c r="AP8" s="31" t="n">
        <v>40</v>
      </c>
      <c r="AQ8" s="31" t="n">
        <v>41</v>
      </c>
      <c r="AR8" s="31" t="n">
        <v>42</v>
      </c>
      <c r="AS8" s="31" t="n">
        <v>43</v>
      </c>
      <c r="AT8" s="31" t="n">
        <v>44</v>
      </c>
      <c r="AU8" s="31" t="n">
        <v>45</v>
      </c>
      <c r="AV8" s="31" t="n">
        <v>46</v>
      </c>
      <c r="AW8" s="31" t="n">
        <v>47</v>
      </c>
      <c r="AX8" s="31" t="n">
        <v>48</v>
      </c>
      <c r="AY8" s="31" t="n">
        <v>49</v>
      </c>
      <c r="AZ8" s="31" t="n">
        <v>50</v>
      </c>
      <c r="BA8" s="31" t="n">
        <v>51</v>
      </c>
      <c r="BB8" s="31" t="n">
        <v>52</v>
      </c>
      <c r="BC8" s="31" t="n">
        <v>53</v>
      </c>
    </row>
    <row r="9">
      <c r="A9" s="13" t="inlineStr">
        <is>
          <t>Funnel</t>
        </is>
      </c>
      <c r="B9" s="14" t="n"/>
    </row>
    <row r="10">
      <c r="A10" s="4" t="inlineStr">
        <is>
          <t>Roof Reports</t>
        </is>
      </c>
      <c r="B10" s="2" t="inlineStr">
        <is>
          <t>count</t>
        </is>
      </c>
      <c r="C10" s="32">
        <f>INDEX(Assumptions!$C$9:$G$9,1,C$4)*C7</f>
        <v>3200.0</v>
      </c>
      <c r="D10" s="32">
        <f>INDEX(Assumptions!$C$9:$G$9,1,D$4)*D7</f>
        <v>5600.000000000001</v>
      </c>
      <c r="E10" s="32">
        <f>INDEX(Assumptions!$C$9:$G$9,1,E$4)*E7</f>
        <v>8000.0</v>
      </c>
      <c r="F10" s="32">
        <f>INDEX(Assumptions!$C$9:$G$9,1,F$4)*F7</f>
        <v>10400.0</v>
      </c>
      <c r="G10" s="32">
        <f>INDEX(Assumptions!$C$9:$G$9,1,G$4)*G7</f>
        <v>12800.0</v>
      </c>
      <c r="H10" s="32">
        <f>INDEX(Assumptions!$C$9:$G$9,1,H$4)*H7</f>
        <v>14601.4406200232</v>
      </c>
      <c r="I10" s="32">
        <f>INDEX(Assumptions!$C$9:$G$9,1,I$4)*I7</f>
        <v>16656.4115765672</v>
      </c>
      <c r="J10" s="32">
        <f>INDEX(Assumptions!$C$9:$G$9,1,J$4)*J7</f>
        <v>19000.594107649198</v>
      </c>
      <c r="K10" s="32">
        <f>INDEX(Assumptions!$C$9:$G$9,1,K$4)*K7</f>
        <v>21674.691141249998</v>
      </c>
      <c r="L10" s="32">
        <f>INDEX(Assumptions!$C$9:$G$9,1,L$4)*L7</f>
        <v>24725.1340356484</v>
      </c>
      <c r="M10" s="32">
        <f>INDEX(Assumptions!$C$9:$G$9,1,M$4)*M7</f>
        <v>28204.8887846588</v>
      </c>
      <c r="N10" s="32">
        <f>INDEX(Assumptions!$C$9:$G$9,1,N$4)*N7</f>
        <v>32174.3756862148</v>
      </c>
      <c r="O10" s="32">
        <f>INDEX(Assumptions!$C$9:$G$9,1,O$4)*O7</f>
        <v>36702.5184428576</v>
      </c>
      <c r="P10" s="32">
        <f>INDEX(Assumptions!$C$9:$G$9,1,P$4)*P7</f>
        <v>41867.9409100536</v>
      </c>
      <c r="Q10" s="32">
        <f>INDEX(Assumptions!$C$9:$G$9,1,Q$4)*Q7</f>
        <v>47760.332271936</v>
      </c>
      <c r="R10" s="32">
        <f>INDEX(Assumptions!$C$9:$G$9,1,R$4)*R7</f>
        <v>54482.0043485348</v>
      </c>
      <c r="S10" s="32">
        <f>INDEX(Assumptions!$C$9:$G$9,1,S$4)*S7</f>
        <v>62149.6680746068</v>
      </c>
      <c r="T10" s="32">
        <f>INDEX(Assumptions!$C$9:$G$9,1,T$4)*T7</f>
        <v>66579.5567685648</v>
      </c>
      <c r="U10" s="32">
        <f>INDEX(Assumptions!$C$9:$G$9,1,U$4)*U7</f>
        <v>71325.1979749464</v>
      </c>
      <c r="V10" s="32">
        <f>INDEX(Assumptions!$C$9:$G$9,1,V$4)*V7</f>
        <v>76409.097823362</v>
      </c>
      <c r="W10" s="32">
        <f>INDEX(Assumptions!$C$9:$G$9,1,W$4)*W7</f>
        <v>81855.36662976841</v>
      </c>
      <c r="X10" s="32">
        <f>INDEX(Assumptions!$C$9:$G$9,1,X$4)*X7</f>
        <v>87689.83323927119</v>
      </c>
      <c r="Y10" s="32">
        <f>INDEX(Assumptions!$C$9:$G$9,1,Y$4)*Y7</f>
        <v>93940.1675190192</v>
      </c>
      <c r="Z10" s="32">
        <f>INDEX(Assumptions!$C$9:$G$9,1,Z$4)*Z7</f>
        <v>100636.01158211999</v>
      </c>
      <c r="AA10" s="32">
        <f>INDEX(Assumptions!$C$9:$G$9,1,AA$4)*AA7</f>
        <v>107809.12036489799</v>
      </c>
      <c r="AB10" s="32">
        <f>INDEX(Assumptions!$C$9:$G$9,1,AB$4)*AB7</f>
        <v>115493.51222418601</v>
      </c>
      <c r="AC10" s="32">
        <f>INDEX(Assumptions!$C$9:$G$9,1,AC$4)*AC7</f>
        <v>123725.6302688592</v>
      </c>
      <c r="AD10" s="32">
        <f>INDEX(Assumptions!$C$9:$G$9,1,AD$4)*AD7</f>
        <v>132544.5151907052</v>
      </c>
      <c r="AE10" s="32">
        <f>INDEX(Assumptions!$C$9:$G$9,1,AE$4)*AE7</f>
        <v>141991.9904142996</v>
      </c>
      <c r="AF10" s="32">
        <f>INDEX(Assumptions!$C$9:$G$9,1,AF$4)*AF7</f>
        <v>150186.201808565</v>
      </c>
      <c r="AG10" s="32">
        <f>INDEX(Assumptions!$C$9:$G$9,1,AG$4)*AG7</f>
        <v>158853.2926953875</v>
      </c>
      <c r="AH10" s="32">
        <f>INDEX(Assumptions!$C$9:$G$9,1,AH$4)*AH7</f>
        <v>168020.55246280998</v>
      </c>
      <c r="AI10" s="32">
        <f>INDEX(Assumptions!$C$9:$G$9,1,AI$4)*AI7</f>
        <v>177716.84534133502</v>
      </c>
      <c r="AJ10" s="32">
        <f>INDEX(Assumptions!$C$9:$G$9,1,AJ$4)*AJ7</f>
        <v>187972.70128645</v>
      </c>
      <c r="AK10" s="32">
        <f>INDEX(Assumptions!$C$9:$G$9,1,AK$4)*AK7</f>
        <v>198820.4121059</v>
      </c>
      <c r="AL10" s="32">
        <f>INDEX(Assumptions!$C$9:$G$9,1,AL$4)*AL7</f>
        <v>210294.13313437247</v>
      </c>
      <c r="AM10" s="32">
        <f>INDEX(Assumptions!$C$9:$G$9,1,AM$4)*AM7</f>
        <v>222429.99077570252</v>
      </c>
      <c r="AN10" s="32">
        <f>INDEX(Assumptions!$C$9:$G$9,1,AN$4)*AN7</f>
        <v>235266.196251255</v>
      </c>
      <c r="AO10" s="32">
        <f>INDEX(Assumptions!$C$9:$G$9,1,AO$4)*AO7</f>
        <v>248843.1659125925</v>
      </c>
      <c r="AP10" s="32">
        <f>INDEX(Assumptions!$C$9:$G$9,1,AP$4)*AP7</f>
        <v>263203.6484972575</v>
      </c>
      <c r="AQ10" s="32">
        <f>INDEX(Assumptions!$C$9:$G$9,1,AQ$4)*AQ7</f>
        <v>278392.85972837</v>
      </c>
      <c r="AR10" s="32">
        <f>INDEX(Assumptions!$C$9:$G$9,1,AR$4)*AR7</f>
        <v>286023.177520092</v>
      </c>
      <c r="AS10" s="32">
        <f>INDEX(Assumptions!$C$9:$G$9,1,AS$4)*AS7</f>
        <v>293862.630523328</v>
      </c>
      <c r="AT10" s="32">
        <f>INDEX(Assumptions!$C$9:$G$9,1,AT$4)*AT7</f>
        <v>301916.95081082796</v>
      </c>
      <c r="AU10" s="32">
        <f>INDEX(Assumptions!$C$9:$G$9,1,AU$4)*AU7</f>
        <v>310192.027562588</v>
      </c>
      <c r="AV10" s="32">
        <f>INDEX(Assumptions!$C$9:$G$9,1,AV$4)*AV7</f>
        <v>318693.91137193196</v>
      </c>
      <c r="AW10" s="32">
        <f>INDEX(Assumptions!$C$9:$G$9,1,AW$4)*AW7</f>
        <v>327428.818669584</v>
      </c>
      <c r="AX10" s="32">
        <f>INDEX(Assumptions!$C$9:$G$9,1,AX$4)*AX7</f>
        <v>336403.13626902003</v>
      </c>
      <c r="AY10" s="32">
        <f>INDEX(Assumptions!$C$9:$G$9,1,AY$4)*AY7</f>
        <v>345623.4260364</v>
      </c>
      <c r="AZ10" s="32">
        <f>INDEX(Assumptions!$C$9:$G$9,1,AZ$4)*AZ7</f>
        <v>355096.42968848796</v>
      </c>
      <c r="BA10" s="32">
        <f>INDEX(Assumptions!$C$9:$G$9,1,BA$4)*BA7</f>
        <v>364829.073722076</v>
      </c>
      <c r="BB10" s="32">
        <f>INDEX(Assumptions!$C$9:$G$9,1,BB$4)*BB7</f>
        <v>374828.47447853204</v>
      </c>
      <c r="BC10" s="32">
        <f>INDEX(Assumptions!$C$9:$G$9,1,BC$4)*BC7</f>
        <v>385101.943347128</v>
      </c>
    </row>
    <row r="11">
      <c r="A11" s="4" t="inlineStr">
        <is>
          <t>Verified leads</t>
        </is>
      </c>
      <c r="B11" s="2" t="inlineStr">
        <is>
          <t>count</t>
        </is>
      </c>
      <c r="C11" s="32">
        <f>C10*INDEX(Assumptions!$C$10:$G$10,1,C$4)</f>
        <v>256.0</v>
      </c>
      <c r="D11" s="32">
        <f>D10*INDEX(Assumptions!$C$10:$G$10,1,D$4)</f>
        <v>448.00000000000006</v>
      </c>
      <c r="E11" s="32">
        <f>E10*INDEX(Assumptions!$C$10:$G$10,1,E$4)</f>
        <v>640.0</v>
      </c>
      <c r="F11" s="32">
        <f>F10*INDEX(Assumptions!$C$10:$G$10,1,F$4)</f>
        <v>832.0</v>
      </c>
      <c r="G11" s="32">
        <f>G10*INDEX(Assumptions!$C$10:$G$10,1,G$4)</f>
        <v>1024.0</v>
      </c>
      <c r="H11" s="32">
        <f>H10*INDEX(Assumptions!$C$10:$G$10,1,H$4)</f>
        <v>1168.115249601856</v>
      </c>
      <c r="I11" s="32">
        <f>I10*INDEX(Assumptions!$C$10:$G$10,1,I$4)</f>
        <v>1332.512926125376</v>
      </c>
      <c r="J11" s="32">
        <f>J10*INDEX(Assumptions!$C$10:$G$10,1,J$4)</f>
        <v>1520.0475286119358</v>
      </c>
      <c r="K11" s="32">
        <f>K10*INDEX(Assumptions!$C$10:$G$10,1,K$4)</f>
        <v>1733.9752912999998</v>
      </c>
      <c r="L11" s="32">
        <f>L10*INDEX(Assumptions!$C$10:$G$10,1,L$4)</f>
        <v>1978.010722851872</v>
      </c>
      <c r="M11" s="32">
        <f>M10*INDEX(Assumptions!$C$10:$G$10,1,M$4)</f>
        <v>2256.391102772704</v>
      </c>
      <c r="N11" s="32">
        <f>N10*INDEX(Assumptions!$C$10:$G$10,1,N$4)</f>
        <v>2573.950054897184</v>
      </c>
      <c r="O11" s="32">
        <f>O10*INDEX(Assumptions!$C$10:$G$10,1,O$4)</f>
        <v>2936.2014754286083</v>
      </c>
      <c r="P11" s="32">
        <f>P10*INDEX(Assumptions!$C$10:$G$10,1,P$4)</f>
        <v>3349.435272804288</v>
      </c>
      <c r="Q11" s="32">
        <f>Q10*INDEX(Assumptions!$C$10:$G$10,1,Q$4)</f>
        <v>3820.82658175488</v>
      </c>
      <c r="R11" s="32">
        <f>R10*INDEX(Assumptions!$C$10:$G$10,1,R$4)</f>
        <v>4358.560347882784</v>
      </c>
      <c r="S11" s="32">
        <f>S10*INDEX(Assumptions!$C$10:$G$10,1,S$4)</f>
        <v>4971.973445968544</v>
      </c>
      <c r="T11" s="32">
        <f>T10*INDEX(Assumptions!$C$10:$G$10,1,T$4)</f>
        <v>5326.364541485184</v>
      </c>
      <c r="U11" s="32">
        <f>U10*INDEX(Assumptions!$C$10:$G$10,1,U$4)</f>
        <v>5706.015837995712</v>
      </c>
      <c r="V11" s="32">
        <f>V10*INDEX(Assumptions!$C$10:$G$10,1,V$4)</f>
        <v>6112.72782586896</v>
      </c>
      <c r="W11" s="32">
        <f>W10*INDEX(Assumptions!$C$10:$G$10,1,W$4)</f>
        <v>6548.429330381473</v>
      </c>
      <c r="X11" s="32">
        <f>X10*INDEX(Assumptions!$C$10:$G$10,1,X$4)</f>
        <v>7015.186659141696</v>
      </c>
      <c r="Y11" s="32">
        <f>Y10*INDEX(Assumptions!$C$10:$G$10,1,Y$4)</f>
        <v>7515.213401521536</v>
      </c>
      <c r="Z11" s="32">
        <f>Z10*INDEX(Assumptions!$C$10:$G$10,1,Z$4)</f>
        <v>8050.880926569599</v>
      </c>
      <c r="AA11" s="32">
        <f>AA10*INDEX(Assumptions!$C$10:$G$10,1,AA$4)</f>
        <v>8624.72962919184</v>
      </c>
      <c r="AB11" s="32">
        <f>AB10*INDEX(Assumptions!$C$10:$G$10,1,AB$4)</f>
        <v>9239.480977934882</v>
      </c>
      <c r="AC11" s="32">
        <f>AC10*INDEX(Assumptions!$C$10:$G$10,1,AC$4)</f>
        <v>9898.050421508737</v>
      </c>
      <c r="AD11" s="32">
        <f>AD10*INDEX(Assumptions!$C$10:$G$10,1,AD$4)</f>
        <v>10603.561215256415</v>
      </c>
      <c r="AE11" s="32">
        <f>AE10*INDEX(Assumptions!$C$10:$G$10,1,AE$4)</f>
        <v>11359.359233143969</v>
      </c>
      <c r="AF11" s="32">
        <f>AF10*INDEX(Assumptions!$C$10:$G$10,1,AF$4)</f>
        <v>12014.8961446852</v>
      </c>
      <c r="AG11" s="32">
        <f>AG10*INDEX(Assumptions!$C$10:$G$10,1,AG$4)</f>
        <v>12708.263415631</v>
      </c>
      <c r="AH11" s="32">
        <f>AH10*INDEX(Assumptions!$C$10:$G$10,1,AH$4)</f>
        <v>13441.644197024798</v>
      </c>
      <c r="AI11" s="32">
        <f>AI10*INDEX(Assumptions!$C$10:$G$10,1,AI$4)</f>
        <v>14217.347627306803</v>
      </c>
      <c r="AJ11" s="32">
        <f>AJ10*INDEX(Assumptions!$C$10:$G$10,1,AJ$4)</f>
        <v>15037.816102916</v>
      </c>
      <c r="AK11" s="32">
        <f>AK10*INDEX(Assumptions!$C$10:$G$10,1,AK$4)</f>
        <v>15905.632968472</v>
      </c>
      <c r="AL11" s="32">
        <f>AL10*INDEX(Assumptions!$C$10:$G$10,1,AL$4)</f>
        <v>16823.5306507498</v>
      </c>
      <c r="AM11" s="32">
        <f>AM10*INDEX(Assumptions!$C$10:$G$10,1,AM$4)</f>
        <v>17794.399262056202</v>
      </c>
      <c r="AN11" s="32">
        <f>AN10*INDEX(Assumptions!$C$10:$G$10,1,AN$4)</f>
        <v>18821.2957001004</v>
      </c>
      <c r="AO11" s="32">
        <f>AO10*INDEX(Assumptions!$C$10:$G$10,1,AO$4)</f>
        <v>19907.4532730074</v>
      </c>
      <c r="AP11" s="32">
        <f>AP10*INDEX(Assumptions!$C$10:$G$10,1,AP$4)</f>
        <v>21056.2918797806</v>
      </c>
      <c r="AQ11" s="32">
        <f>AQ10*INDEX(Assumptions!$C$10:$G$10,1,AQ$4)</f>
        <v>22271.428778269597</v>
      </c>
      <c r="AR11" s="32">
        <f>AR10*INDEX(Assumptions!$C$10:$G$10,1,AR$4)</f>
        <v>22881.85420160736</v>
      </c>
      <c r="AS11" s="32">
        <f>AS10*INDEX(Assumptions!$C$10:$G$10,1,AS$4)</f>
        <v>23509.01044186624</v>
      </c>
      <c r="AT11" s="32">
        <f>AT10*INDEX(Assumptions!$C$10:$G$10,1,AT$4)</f>
        <v>24153.356064866235</v>
      </c>
      <c r="AU11" s="32">
        <f>AU10*INDEX(Assumptions!$C$10:$G$10,1,AU$4)</f>
        <v>24815.36220500704</v>
      </c>
      <c r="AV11" s="32">
        <f>AV10*INDEX(Assumptions!$C$10:$G$10,1,AV$4)</f>
        <v>25495.512909754558</v>
      </c>
      <c r="AW11" s="32">
        <f>AW10*INDEX(Assumptions!$C$10:$G$10,1,AW$4)</f>
        <v>26194.30549356672</v>
      </c>
      <c r="AX11" s="32">
        <f>AX10*INDEX(Assumptions!$C$10:$G$10,1,AX$4)</f>
        <v>26912.250901521602</v>
      </c>
      <c r="AY11" s="32">
        <f>AY10*INDEX(Assumptions!$C$10:$G$10,1,AY$4)</f>
        <v>27649.874082912003</v>
      </c>
      <c r="AZ11" s="32">
        <f>AZ10*INDEX(Assumptions!$C$10:$G$10,1,AZ$4)</f>
        <v>28407.71437507904</v>
      </c>
      <c r="BA11" s="32">
        <f>BA10*INDEX(Assumptions!$C$10:$G$10,1,BA$4)</f>
        <v>29186.32589776608</v>
      </c>
      <c r="BB11" s="32">
        <f>BB10*INDEX(Assumptions!$C$10:$G$10,1,BB$4)</f>
        <v>29986.277958282564</v>
      </c>
      <c r="BC11" s="32">
        <f>BC10*INDEX(Assumptions!$C$10:$G$10,1,BC$4)</f>
        <v>30808.15546777024</v>
      </c>
    </row>
    <row r="12">
      <c r="A12" s="4" t="inlineStr">
        <is>
          <t>Installed homes (lead + 2 months)</t>
        </is>
      </c>
      <c r="B12" s="2" t="inlineStr">
        <is>
          <t>count</t>
        </is>
      </c>
      <c r="C12" s="32" t="n">
        <v>0</v>
      </c>
      <c r="D12" s="32" t="n">
        <v>0</v>
      </c>
      <c r="E12" s="32">
        <f>C11*INDEX(Assumptions!$C$11:$G$11,1,E$4)</f>
        <v>51.2</v>
      </c>
      <c r="F12" s="32">
        <f>D11*INDEX(Assumptions!$C$11:$G$11,1,F$4)</f>
        <v>89.60000000000002</v>
      </c>
      <c r="G12" s="32">
        <f>E11*INDEX(Assumptions!$C$11:$G$11,1,G$4)</f>
        <v>128.0</v>
      </c>
      <c r="H12" s="32">
        <f>F11*INDEX(Assumptions!$C$11:$G$11,1,H$4)</f>
        <v>166.4</v>
      </c>
      <c r="I12" s="32">
        <f>G11*INDEX(Assumptions!$C$11:$G$11,1,I$4)</f>
        <v>204.8</v>
      </c>
      <c r="J12" s="32">
        <f>H11*INDEX(Assumptions!$C$11:$G$11,1,J$4)</f>
        <v>233.62304992037122</v>
      </c>
      <c r="K12" s="32">
        <f>I11*INDEX(Assumptions!$C$11:$G$11,1,K$4)</f>
        <v>266.5025852250752</v>
      </c>
      <c r="L12" s="32">
        <f>J11*INDEX(Assumptions!$C$11:$G$11,1,L$4)</f>
        <v>304.0095057223872</v>
      </c>
      <c r="M12" s="32">
        <f>K11*INDEX(Assumptions!$C$11:$G$11,1,M$4)</f>
        <v>346.79505825999996</v>
      </c>
      <c r="N12" s="32">
        <f>L11*INDEX(Assumptions!$C$11:$G$11,1,N$4)</f>
        <v>395.60214457037443</v>
      </c>
      <c r="O12" s="32">
        <f>M11*INDEX(Assumptions!$C$11:$G$11,1,O$4)</f>
        <v>451.27822055454084</v>
      </c>
      <c r="P12" s="32">
        <f>N11*INDEX(Assumptions!$C$11:$G$11,1,P$4)</f>
        <v>514.7900109794368</v>
      </c>
      <c r="Q12" s="32">
        <f>O11*INDEX(Assumptions!$C$11:$G$11,1,Q$4)</f>
        <v>587.2402950857216</v>
      </c>
      <c r="R12" s="32">
        <f>P11*INDEX(Assumptions!$C$11:$G$11,1,R$4)</f>
        <v>669.8870545608577</v>
      </c>
      <c r="S12" s="32">
        <f>Q11*INDEX(Assumptions!$C$11:$G$11,1,S$4)</f>
        <v>764.165316350976</v>
      </c>
      <c r="T12" s="32">
        <f>R11*INDEX(Assumptions!$C$11:$G$11,1,T$4)</f>
        <v>871.7120695765569</v>
      </c>
      <c r="U12" s="32">
        <f>S11*INDEX(Assumptions!$C$11:$G$11,1,U$4)</f>
        <v>994.3946891937089</v>
      </c>
      <c r="V12" s="32">
        <f>T11*INDEX(Assumptions!$C$11:$G$11,1,V$4)</f>
        <v>1065.272908297037</v>
      </c>
      <c r="W12" s="32">
        <f>U11*INDEX(Assumptions!$C$11:$G$11,1,W$4)</f>
        <v>1141.2031675991425</v>
      </c>
      <c r="X12" s="32">
        <f>V11*INDEX(Assumptions!$C$11:$G$11,1,X$4)</f>
        <v>1222.545565173792</v>
      </c>
      <c r="Y12" s="32">
        <f>W11*INDEX(Assumptions!$C$11:$G$11,1,Y$4)</f>
        <v>1309.6858660762946</v>
      </c>
      <c r="Z12" s="32">
        <f>X11*INDEX(Assumptions!$C$11:$G$11,1,Z$4)</f>
        <v>1403.0373318283391</v>
      </c>
      <c r="AA12" s="32">
        <f>Y11*INDEX(Assumptions!$C$11:$G$11,1,AA$4)</f>
        <v>1503.0426803043074</v>
      </c>
      <c r="AB12" s="32">
        <f>Z11*INDEX(Assumptions!$C$11:$G$11,1,AB$4)</f>
        <v>1610.1761853139199</v>
      </c>
      <c r="AC12" s="32">
        <f>AA11*INDEX(Assumptions!$C$11:$G$11,1,AC$4)</f>
        <v>1724.9459258383679</v>
      </c>
      <c r="AD12" s="32">
        <f>AB11*INDEX(Assumptions!$C$11:$G$11,1,AD$4)</f>
        <v>1847.8961955869763</v>
      </c>
      <c r="AE12" s="32">
        <f>AC11*INDEX(Assumptions!$C$11:$G$11,1,AE$4)</f>
        <v>1979.6100843017475</v>
      </c>
      <c r="AF12" s="32">
        <f>AD11*INDEX(Assumptions!$C$11:$G$11,1,AF$4)</f>
        <v>2120.712243051283</v>
      </c>
      <c r="AG12" s="32">
        <f>AE11*INDEX(Assumptions!$C$11:$G$11,1,AG$4)</f>
        <v>2271.8718466287937</v>
      </c>
      <c r="AH12" s="32">
        <f>AF11*INDEX(Assumptions!$C$11:$G$11,1,AH$4)</f>
        <v>2402.9792289370403</v>
      </c>
      <c r="AI12" s="32">
        <f>AG11*INDEX(Assumptions!$C$11:$G$11,1,AI$4)</f>
        <v>2541.6526831262</v>
      </c>
      <c r="AJ12" s="32">
        <f>AH11*INDEX(Assumptions!$C$11:$G$11,1,AJ$4)</f>
        <v>2688.3288394049596</v>
      </c>
      <c r="AK12" s="32">
        <f>AI11*INDEX(Assumptions!$C$11:$G$11,1,AK$4)</f>
        <v>2843.4695254613607</v>
      </c>
      <c r="AL12" s="32">
        <f>AJ11*INDEX(Assumptions!$C$11:$G$11,1,AL$4)</f>
        <v>3007.5632205832003</v>
      </c>
      <c r="AM12" s="32">
        <f>AK11*INDEX(Assumptions!$C$11:$G$11,1,AM$4)</f>
        <v>3181.1265936944</v>
      </c>
      <c r="AN12" s="32">
        <f>AL11*INDEX(Assumptions!$C$11:$G$11,1,AN$4)</f>
        <v>3364.70613014996</v>
      </c>
      <c r="AO12" s="32">
        <f>AM11*INDEX(Assumptions!$C$11:$G$11,1,AO$4)</f>
        <v>3558.879852411241</v>
      </c>
      <c r="AP12" s="32">
        <f>AN11*INDEX(Assumptions!$C$11:$G$11,1,AP$4)</f>
        <v>3764.25914002008</v>
      </c>
      <c r="AQ12" s="32">
        <f>AO11*INDEX(Assumptions!$C$11:$G$11,1,AQ$4)</f>
        <v>3981.49065460148</v>
      </c>
      <c r="AR12" s="32">
        <f>AP11*INDEX(Assumptions!$C$11:$G$11,1,AR$4)</f>
        <v>4211.25837595612</v>
      </c>
      <c r="AS12" s="32">
        <f>AQ11*INDEX(Assumptions!$C$11:$G$11,1,AS$4)</f>
        <v>4454.285755653919</v>
      </c>
      <c r="AT12" s="32">
        <f>AR11*INDEX(Assumptions!$C$11:$G$11,1,AT$4)</f>
        <v>4576.370840321472</v>
      </c>
      <c r="AU12" s="32">
        <f>AS11*INDEX(Assumptions!$C$11:$G$11,1,AU$4)</f>
        <v>4701.802088373249</v>
      </c>
      <c r="AV12" s="32">
        <f>AT11*INDEX(Assumptions!$C$11:$G$11,1,AV$4)</f>
        <v>4830.671212973247</v>
      </c>
      <c r="AW12" s="32">
        <f>AU11*INDEX(Assumptions!$C$11:$G$11,1,AW$4)</f>
        <v>4963.072441001408</v>
      </c>
      <c r="AX12" s="32">
        <f>AV11*INDEX(Assumptions!$C$11:$G$11,1,AX$4)</f>
        <v>5099.102581950912</v>
      </c>
      <c r="AY12" s="32">
        <f>AW11*INDEX(Assumptions!$C$11:$G$11,1,AY$4)</f>
        <v>5238.861098713344</v>
      </c>
      <c r="AZ12" s="32">
        <f>AX11*INDEX(Assumptions!$C$11:$G$11,1,AZ$4)</f>
        <v>5382.45018030432</v>
      </c>
      <c r="BA12" s="32">
        <f>AY11*INDEX(Assumptions!$C$11:$G$11,1,BA$4)</f>
        <v>5529.974816582401</v>
      </c>
      <c r="BB12" s="32">
        <f>AZ11*INDEX(Assumptions!$C$11:$G$11,1,BB$4)</f>
        <v>5681.542875015808</v>
      </c>
      <c r="BC12" s="32">
        <f>BA11*INDEX(Assumptions!$C$11:$G$11,1,BC$4)</f>
        <v>5837.2651795532165</v>
      </c>
    </row>
    <row r="13">
      <c r="A13" s="4" t="inlineStr">
        <is>
          <t>Average system value</t>
        </is>
      </c>
      <c r="B13" s="2" t="inlineStr">
        <is>
          <t>₹</t>
        </is>
      </c>
      <c r="C13" s="32">
        <f>Assumptions!$C$39*INDEX(Assumptions!$C$40:$G$40,1,C$4)</f>
        <v>185600.0</v>
      </c>
      <c r="D13" s="32">
        <f>Assumptions!$C$39*INDEX(Assumptions!$C$40:$G$40,1,D$4)</f>
        <v>185600.0</v>
      </c>
      <c r="E13" s="32">
        <f>Assumptions!$C$39*INDEX(Assumptions!$C$40:$G$40,1,E$4)</f>
        <v>185600.0</v>
      </c>
      <c r="F13" s="32">
        <f>Assumptions!$C$39*INDEX(Assumptions!$C$40:$G$40,1,F$4)</f>
        <v>185600.0</v>
      </c>
      <c r="G13" s="32">
        <f>Assumptions!$C$39*INDEX(Assumptions!$C$40:$G$40,1,G$4)</f>
        <v>185600.0</v>
      </c>
      <c r="H13" s="32">
        <f>Assumptions!$C$39*INDEX(Assumptions!$C$40:$G$40,1,H$4)</f>
        <v>182400.0</v>
      </c>
      <c r="I13" s="32">
        <f>Assumptions!$C$39*INDEX(Assumptions!$C$40:$G$40,1,I$4)</f>
        <v>182400.0</v>
      </c>
      <c r="J13" s="32">
        <f>Assumptions!$C$39*INDEX(Assumptions!$C$40:$G$40,1,J$4)</f>
        <v>182400.0</v>
      </c>
      <c r="K13" s="32">
        <f>Assumptions!$C$39*INDEX(Assumptions!$C$40:$G$40,1,K$4)</f>
        <v>182400.0</v>
      </c>
      <c r="L13" s="32">
        <f>Assumptions!$C$39*INDEX(Assumptions!$C$40:$G$40,1,L$4)</f>
        <v>182400.0</v>
      </c>
      <c r="M13" s="32">
        <f>Assumptions!$C$39*INDEX(Assumptions!$C$40:$G$40,1,M$4)</f>
        <v>182400.0</v>
      </c>
      <c r="N13" s="32">
        <f>Assumptions!$C$39*INDEX(Assumptions!$C$40:$G$40,1,N$4)</f>
        <v>182400.0</v>
      </c>
      <c r="O13" s="32">
        <f>Assumptions!$C$39*INDEX(Assumptions!$C$40:$G$40,1,O$4)</f>
        <v>182400.0</v>
      </c>
      <c r="P13" s="32">
        <f>Assumptions!$C$39*INDEX(Assumptions!$C$40:$G$40,1,P$4)</f>
        <v>182400.0</v>
      </c>
      <c r="Q13" s="32">
        <f>Assumptions!$C$39*INDEX(Assumptions!$C$40:$G$40,1,Q$4)</f>
        <v>182400.0</v>
      </c>
      <c r="R13" s="32">
        <f>Assumptions!$C$39*INDEX(Assumptions!$C$40:$G$40,1,R$4)</f>
        <v>182400.0</v>
      </c>
      <c r="S13" s="32">
        <f>Assumptions!$C$39*INDEX(Assumptions!$C$40:$G$40,1,S$4)</f>
        <v>182400.0</v>
      </c>
      <c r="T13" s="32">
        <f>Assumptions!$C$39*INDEX(Assumptions!$C$40:$G$40,1,T$4)</f>
        <v>179200.0</v>
      </c>
      <c r="U13" s="32">
        <f>Assumptions!$C$39*INDEX(Assumptions!$C$40:$G$40,1,U$4)</f>
        <v>179200.0</v>
      </c>
      <c r="V13" s="32">
        <f>Assumptions!$C$39*INDEX(Assumptions!$C$40:$G$40,1,V$4)</f>
        <v>179200.0</v>
      </c>
      <c r="W13" s="32">
        <f>Assumptions!$C$39*INDEX(Assumptions!$C$40:$G$40,1,W$4)</f>
        <v>179200.0</v>
      </c>
      <c r="X13" s="32">
        <f>Assumptions!$C$39*INDEX(Assumptions!$C$40:$G$40,1,X$4)</f>
        <v>179200.0</v>
      </c>
      <c r="Y13" s="32">
        <f>Assumptions!$C$39*INDEX(Assumptions!$C$40:$G$40,1,Y$4)</f>
        <v>179200.0</v>
      </c>
      <c r="Z13" s="32">
        <f>Assumptions!$C$39*INDEX(Assumptions!$C$40:$G$40,1,Z$4)</f>
        <v>179200.0</v>
      </c>
      <c r="AA13" s="32">
        <f>Assumptions!$C$39*INDEX(Assumptions!$C$40:$G$40,1,AA$4)</f>
        <v>179200.0</v>
      </c>
      <c r="AB13" s="32">
        <f>Assumptions!$C$39*INDEX(Assumptions!$C$40:$G$40,1,AB$4)</f>
        <v>179200.0</v>
      </c>
      <c r="AC13" s="32">
        <f>Assumptions!$C$39*INDEX(Assumptions!$C$40:$G$40,1,AC$4)</f>
        <v>179200.0</v>
      </c>
      <c r="AD13" s="32">
        <f>Assumptions!$C$39*INDEX(Assumptions!$C$40:$G$40,1,AD$4)</f>
        <v>179200.0</v>
      </c>
      <c r="AE13" s="32">
        <f>Assumptions!$C$39*INDEX(Assumptions!$C$40:$G$40,1,AE$4)</f>
        <v>179200.0</v>
      </c>
      <c r="AF13" s="32">
        <f>Assumptions!$C$39*INDEX(Assumptions!$C$40:$G$40,1,AF$4)</f>
        <v>176000.0</v>
      </c>
      <c r="AG13" s="32">
        <f>Assumptions!$C$39*INDEX(Assumptions!$C$40:$G$40,1,AG$4)</f>
        <v>176000.0</v>
      </c>
      <c r="AH13" s="32">
        <f>Assumptions!$C$39*INDEX(Assumptions!$C$40:$G$40,1,AH$4)</f>
        <v>176000.0</v>
      </c>
      <c r="AI13" s="32">
        <f>Assumptions!$C$39*INDEX(Assumptions!$C$40:$G$40,1,AI$4)</f>
        <v>176000.0</v>
      </c>
      <c r="AJ13" s="32">
        <f>Assumptions!$C$39*INDEX(Assumptions!$C$40:$G$40,1,AJ$4)</f>
        <v>176000.0</v>
      </c>
      <c r="AK13" s="32">
        <f>Assumptions!$C$39*INDEX(Assumptions!$C$40:$G$40,1,AK$4)</f>
        <v>176000.0</v>
      </c>
      <c r="AL13" s="32">
        <f>Assumptions!$C$39*INDEX(Assumptions!$C$40:$G$40,1,AL$4)</f>
        <v>176000.0</v>
      </c>
      <c r="AM13" s="32">
        <f>Assumptions!$C$39*INDEX(Assumptions!$C$40:$G$40,1,AM$4)</f>
        <v>176000.0</v>
      </c>
      <c r="AN13" s="32">
        <f>Assumptions!$C$39*INDEX(Assumptions!$C$40:$G$40,1,AN$4)</f>
        <v>176000.0</v>
      </c>
      <c r="AO13" s="32">
        <f>Assumptions!$C$39*INDEX(Assumptions!$C$40:$G$40,1,AO$4)</f>
        <v>176000.0</v>
      </c>
      <c r="AP13" s="32">
        <f>Assumptions!$C$39*INDEX(Assumptions!$C$40:$G$40,1,AP$4)</f>
        <v>176000.0</v>
      </c>
      <c r="AQ13" s="32">
        <f>Assumptions!$C$39*INDEX(Assumptions!$C$40:$G$40,1,AQ$4)</f>
        <v>176000.0</v>
      </c>
      <c r="AR13" s="32">
        <f>Assumptions!$C$39*INDEX(Assumptions!$C$40:$G$40,1,AR$4)</f>
        <v>172800.0</v>
      </c>
      <c r="AS13" s="32">
        <f>Assumptions!$C$39*INDEX(Assumptions!$C$40:$G$40,1,AS$4)</f>
        <v>172800.0</v>
      </c>
      <c r="AT13" s="32">
        <f>Assumptions!$C$39*INDEX(Assumptions!$C$40:$G$40,1,AT$4)</f>
        <v>172800.0</v>
      </c>
      <c r="AU13" s="32">
        <f>Assumptions!$C$39*INDEX(Assumptions!$C$40:$G$40,1,AU$4)</f>
        <v>172800.0</v>
      </c>
      <c r="AV13" s="32">
        <f>Assumptions!$C$39*INDEX(Assumptions!$C$40:$G$40,1,AV$4)</f>
        <v>172800.0</v>
      </c>
      <c r="AW13" s="32">
        <f>Assumptions!$C$39*INDEX(Assumptions!$C$40:$G$40,1,AW$4)</f>
        <v>172800.0</v>
      </c>
      <c r="AX13" s="32">
        <f>Assumptions!$C$39*INDEX(Assumptions!$C$40:$G$40,1,AX$4)</f>
        <v>172800.0</v>
      </c>
      <c r="AY13" s="32">
        <f>Assumptions!$C$39*INDEX(Assumptions!$C$40:$G$40,1,AY$4)</f>
        <v>172800.0</v>
      </c>
      <c r="AZ13" s="32">
        <f>Assumptions!$C$39*INDEX(Assumptions!$C$40:$G$40,1,AZ$4)</f>
        <v>172800.0</v>
      </c>
      <c r="BA13" s="32">
        <f>Assumptions!$C$39*INDEX(Assumptions!$C$40:$G$40,1,BA$4)</f>
        <v>172800.0</v>
      </c>
      <c r="BB13" s="32">
        <f>Assumptions!$C$39*INDEX(Assumptions!$C$40:$G$40,1,BB$4)</f>
        <v>172800.0</v>
      </c>
      <c r="BC13" s="32">
        <f>Assumptions!$C$39*INDEX(Assumptions!$C$40:$G$40,1,BC$4)</f>
        <v>172800.0</v>
      </c>
    </row>
    <row r="14">
      <c r="A14" s="13" t="inlineStr">
        <is>
          <t>Revenue</t>
        </is>
      </c>
      <c r="B14" s="14" t="n"/>
    </row>
    <row r="15">
      <c r="A15" s="4" t="inlineStr">
        <is>
          <t>Lead fees (net of credits)</t>
        </is>
      </c>
      <c r="B15" s="2" t="inlineStr">
        <is>
          <t>₹ lakh</t>
        </is>
      </c>
      <c r="C15" s="34">
        <f>C11*INDEX(Assumptions!$C$12:$G$12,1,C$4)*(1-Assumptions!$C$43)/100000</f>
        <v>3.648</v>
      </c>
      <c r="D15" s="34">
        <f>D11*INDEX(Assumptions!$C$12:$G$12,1,D$4)*(1-Assumptions!$C$43)/100000</f>
        <v>6.384000000000001</v>
      </c>
      <c r="E15" s="34">
        <f>E11*INDEX(Assumptions!$C$12:$G$12,1,E$4)*(1-Assumptions!$C$43)/100000</f>
        <v>9.12</v>
      </c>
      <c r="F15" s="34">
        <f>F11*INDEX(Assumptions!$C$12:$G$12,1,F$4)*(1-Assumptions!$C$43)/100000</f>
        <v>11.856</v>
      </c>
      <c r="G15" s="34">
        <f>G11*INDEX(Assumptions!$C$12:$G$12,1,G$4)*(1-Assumptions!$C$43)/100000</f>
        <v>14.592</v>
      </c>
      <c r="H15" s="34">
        <f>H11*INDEX(Assumptions!$C$12:$G$12,1,H$4)*(1-Assumptions!$C$43)/100000</f>
        <v>16.64564230682645</v>
      </c>
      <c r="I15" s="34">
        <f>I11*INDEX(Assumptions!$C$12:$G$12,1,I$4)*(1-Assumptions!$C$43)/100000</f>
        <v>18.988309197286608</v>
      </c>
      <c r="J15" s="34">
        <f>J11*INDEX(Assumptions!$C$12:$G$12,1,J$4)*(1-Assumptions!$C$43)/100000</f>
        <v>21.660677282720087</v>
      </c>
      <c r="K15" s="34">
        <f>K11*INDEX(Assumptions!$C$12:$G$12,1,K$4)*(1-Assumptions!$C$43)/100000</f>
        <v>24.709147901024995</v>
      </c>
      <c r="L15" s="34">
        <f>L11*INDEX(Assumptions!$C$12:$G$12,1,L$4)*(1-Assumptions!$C$43)/100000</f>
        <v>28.18665280063918</v>
      </c>
      <c r="M15" s="34">
        <f>M11*INDEX(Assumptions!$C$12:$G$12,1,M$4)*(1-Assumptions!$C$43)/100000</f>
        <v>32.15357321451103</v>
      </c>
      <c r="N15" s="34">
        <f>N11*INDEX(Assumptions!$C$12:$G$12,1,N$4)*(1-Assumptions!$C$43)/100000</f>
        <v>36.67878828228487</v>
      </c>
      <c r="O15" s="34">
        <f>O11*INDEX(Assumptions!$C$12:$G$12,1,O$4)*(1-Assumptions!$C$43)/100000</f>
        <v>41.84087102485767</v>
      </c>
      <c r="P15" s="34">
        <f>P11*INDEX(Assumptions!$C$12:$G$12,1,P$4)*(1-Assumptions!$C$43)/100000</f>
        <v>47.72945263746111</v>
      </c>
      <c r="Q15" s="34">
        <f>Q11*INDEX(Assumptions!$C$12:$G$12,1,Q$4)*(1-Assumptions!$C$43)/100000</f>
        <v>54.44677879000704</v>
      </c>
      <c r="R15" s="34">
        <f>R11*INDEX(Assumptions!$C$12:$G$12,1,R$4)*(1-Assumptions!$C$43)/100000</f>
        <v>62.10948495732968</v>
      </c>
      <c r="S15" s="34">
        <f>S11*INDEX(Assumptions!$C$12:$G$12,1,S$4)*(1-Assumptions!$C$43)/100000</f>
        <v>70.85062160505174</v>
      </c>
      <c r="T15" s="34">
        <f>T11*INDEX(Assumptions!$C$12:$G$12,1,T$4)*(1-Assumptions!$C$43)/100000</f>
        <v>75.90069471616387</v>
      </c>
      <c r="U15" s="34">
        <f>U11*INDEX(Assumptions!$C$12:$G$12,1,U$4)*(1-Assumptions!$C$43)/100000</f>
        <v>81.31072569143889</v>
      </c>
      <c r="V15" s="34">
        <f>V11*INDEX(Assumptions!$C$12:$G$12,1,V$4)*(1-Assumptions!$C$43)/100000</f>
        <v>87.10637151863267</v>
      </c>
      <c r="W15" s="34">
        <f>W11*INDEX(Assumptions!$C$12:$G$12,1,W$4)*(1-Assumptions!$C$43)/100000</f>
        <v>93.31511795793598</v>
      </c>
      <c r="X15" s="34">
        <f>X11*INDEX(Assumptions!$C$12:$G$12,1,X$4)*(1-Assumptions!$C$43)/100000</f>
        <v>99.96640989276916</v>
      </c>
      <c r="Y15" s="34">
        <f>Y11*INDEX(Assumptions!$C$12:$G$12,1,Y$4)*(1-Assumptions!$C$43)/100000</f>
        <v>107.09179097168189</v>
      </c>
      <c r="Z15" s="34">
        <f>Z11*INDEX(Assumptions!$C$12:$G$12,1,Z$4)*(1-Assumptions!$C$43)/100000</f>
        <v>114.7250532036168</v>
      </c>
      <c r="AA15" s="34">
        <f>AA11*INDEX(Assumptions!$C$12:$G$12,1,AA$4)*(1-Assumptions!$C$43)/100000</f>
        <v>122.9023972159837</v>
      </c>
      <c r="AB15" s="34">
        <f>AB11*INDEX(Assumptions!$C$12:$G$12,1,AB$4)*(1-Assumptions!$C$43)/100000</f>
        <v>131.66260393557206</v>
      </c>
      <c r="AC15" s="34">
        <f>AC11*INDEX(Assumptions!$C$12:$G$12,1,AC$4)*(1-Assumptions!$C$43)/100000</f>
        <v>141.0472185064995</v>
      </c>
      <c r="AD15" s="34">
        <f>AD11*INDEX(Assumptions!$C$12:$G$12,1,AD$4)*(1-Assumptions!$C$43)/100000</f>
        <v>151.10074731740391</v>
      </c>
      <c r="AE15" s="34">
        <f>AE11*INDEX(Assumptions!$C$12:$G$12,1,AE$4)*(1-Assumptions!$C$43)/100000</f>
        <v>161.87086907230153</v>
      </c>
      <c r="AF15" s="34">
        <f>AF11*INDEX(Assumptions!$C$12:$G$12,1,AF$4)*(1-Assumptions!$C$43)/100000</f>
        <v>171.21227006176412</v>
      </c>
      <c r="AG15" s="34">
        <f>AG11*INDEX(Assumptions!$C$12:$G$12,1,AG$4)*(1-Assumptions!$C$43)/100000</f>
        <v>181.09275367274174</v>
      </c>
      <c r="AH15" s="34">
        <f>AH11*INDEX(Assumptions!$C$12:$G$12,1,AH$4)*(1-Assumptions!$C$43)/100000</f>
        <v>191.54342980760336</v>
      </c>
      <c r="AI15" s="34">
        <f>AI11*INDEX(Assumptions!$C$12:$G$12,1,AI$4)*(1-Assumptions!$C$43)/100000</f>
        <v>202.5972036891219</v>
      </c>
      <c r="AJ15" s="34">
        <f>AJ11*INDEX(Assumptions!$C$12:$G$12,1,AJ$4)*(1-Assumptions!$C$43)/100000</f>
        <v>214.288879466553</v>
      </c>
      <c r="AK15" s="34">
        <f>AK11*INDEX(Assumptions!$C$12:$G$12,1,AK$4)*(1-Assumptions!$C$43)/100000</f>
        <v>226.65526980072602</v>
      </c>
      <c r="AL15" s="34">
        <f>AL11*INDEX(Assumptions!$C$12:$G$12,1,AL$4)*(1-Assumptions!$C$43)/100000</f>
        <v>239.73531177318466</v>
      </c>
      <c r="AM15" s="34">
        <f>AM11*INDEX(Assumptions!$C$12:$G$12,1,AM$4)*(1-Assumptions!$C$43)/100000</f>
        <v>253.57018948430087</v>
      </c>
      <c r="AN15" s="34">
        <f>AN11*INDEX(Assumptions!$C$12:$G$12,1,AN$4)*(1-Assumptions!$C$43)/100000</f>
        <v>268.2034637264307</v>
      </c>
      <c r="AO15" s="34">
        <f>AO11*INDEX(Assumptions!$C$12:$G$12,1,AO$4)*(1-Assumptions!$C$43)/100000</f>
        <v>283.6812091403554</v>
      </c>
      <c r="AP15" s="34">
        <f>AP11*INDEX(Assumptions!$C$12:$G$12,1,AP$4)*(1-Assumptions!$C$43)/100000</f>
        <v>300.0521592868735</v>
      </c>
      <c r="AQ15" s="34">
        <f>AQ11*INDEX(Assumptions!$C$12:$G$12,1,AQ$4)*(1-Assumptions!$C$43)/100000</f>
        <v>317.3678600903417</v>
      </c>
      <c r="AR15" s="34">
        <f>AR11*INDEX(Assumptions!$C$12:$G$12,1,AR$4)*(1-Assumptions!$C$43)/100000</f>
        <v>326.0664223729048</v>
      </c>
      <c r="AS15" s="34">
        <f>AS11*INDEX(Assumptions!$C$12:$G$12,1,AS$4)*(1-Assumptions!$C$43)/100000</f>
        <v>335.0033987965939</v>
      </c>
      <c r="AT15" s="34">
        <f>AT11*INDEX(Assumptions!$C$12:$G$12,1,AT$4)*(1-Assumptions!$C$43)/100000</f>
        <v>344.18532392434383</v>
      </c>
      <c r="AU15" s="34">
        <f>AU11*INDEX(Assumptions!$C$12:$G$12,1,AU$4)*(1-Assumptions!$C$43)/100000</f>
        <v>353.61891142135033</v>
      </c>
      <c r="AV15" s="34">
        <f>AV11*INDEX(Assumptions!$C$12:$G$12,1,AV$4)*(1-Assumptions!$C$43)/100000</f>
        <v>363.3110589640024</v>
      </c>
      <c r="AW15" s="34">
        <f>AW11*INDEX(Assumptions!$C$12:$G$12,1,AW$4)*(1-Assumptions!$C$43)/100000</f>
        <v>373.2688532833257</v>
      </c>
      <c r="AX15" s="34">
        <f>AX11*INDEX(Assumptions!$C$12:$G$12,1,AX$4)*(1-Assumptions!$C$43)/100000</f>
        <v>383.49957534668283</v>
      </c>
      <c r="AY15" s="34">
        <f>AY11*INDEX(Assumptions!$C$12:$G$12,1,AY$4)*(1-Assumptions!$C$43)/100000</f>
        <v>394.01070568149606</v>
      </c>
      <c r="AZ15" s="34">
        <f>AZ11*INDEX(Assumptions!$C$12:$G$12,1,AZ$4)*(1-Assumptions!$C$43)/100000</f>
        <v>404.8099298448763</v>
      </c>
      <c r="BA15" s="34">
        <f>BA11*INDEX(Assumptions!$C$12:$G$12,1,BA$4)*(1-Assumptions!$C$43)/100000</f>
        <v>415.90514404316656</v>
      </c>
      <c r="BB15" s="34">
        <f>BB11*INDEX(Assumptions!$C$12:$G$12,1,BB$4)*(1-Assumptions!$C$43)/100000</f>
        <v>427.3044609055265</v>
      </c>
      <c r="BC15" s="34">
        <f>BC11*INDEX(Assumptions!$C$12:$G$12,1,BC$4)*(1-Assumptions!$C$43)/100000</f>
        <v>439.01621541572587</v>
      </c>
    </row>
    <row r="16">
      <c r="A16" s="4" t="inlineStr">
        <is>
          <t>Success fees (collected)</t>
        </is>
      </c>
      <c r="B16" s="2" t="inlineStr">
        <is>
          <t>₹ lakh</t>
        </is>
      </c>
      <c r="C16" s="34">
        <f>C12*C13*Assumptions!$C$41*Assumptions!$C$42/100000</f>
        <v>0.0</v>
      </c>
      <c r="D16" s="34">
        <f>D12*D13*Assumptions!$C$41*Assumptions!$C$42/100000</f>
        <v>0.0</v>
      </c>
      <c r="E16" s="34">
        <f>E12*E13*Assumptions!$C$41*Assumptions!$C$42/100000</f>
        <v>1.6154624</v>
      </c>
      <c r="F16" s="34">
        <f>F12*F13*Assumptions!$C$41*Assumptions!$C$42/100000</f>
        <v>2.8270592000000003</v>
      </c>
      <c r="G16" s="34">
        <f>G12*G13*Assumptions!$C$41*Assumptions!$C$42/100000</f>
        <v>4.038656</v>
      </c>
      <c r="H16" s="34">
        <f>H12*H13*Assumptions!$C$41*Assumptions!$C$42/100000</f>
        <v>5.1597312</v>
      </c>
      <c r="I16" s="34">
        <f>I12*I13*Assumptions!$C$41*Assumptions!$C$42/100000</f>
        <v>6.3504384</v>
      </c>
      <c r="J16" s="34">
        <f>J12*J13*Assumptions!$C$41*Assumptions!$C$42/100000</f>
        <v>7.244183531930871</v>
      </c>
      <c r="K16" s="34">
        <f>K12*K13*Assumptions!$C$41*Assumptions!$C$42/100000</f>
        <v>8.263712162659132</v>
      </c>
      <c r="L16" s="34">
        <f>L12*L13*Assumptions!$C$41*Assumptions!$C$42/100000</f>
        <v>9.426726753439782</v>
      </c>
      <c r="M16" s="34">
        <f>M12*M13*Assumptions!$C$41*Assumptions!$C$42/100000</f>
        <v>10.75342116652608</v>
      </c>
      <c r="N16" s="34">
        <f>N12*N13*Assumptions!$C$41*Assumptions!$C$42/100000</f>
        <v>12.26683129883817</v>
      </c>
      <c r="O16" s="34">
        <f>O12*O13*Assumptions!$C$41*Assumptions!$C$42/100000</f>
        <v>13.9932350629552</v>
      </c>
      <c r="P16" s="34">
        <f>P12*P13*Assumptions!$C$41*Assumptions!$C$42/100000</f>
        <v>15.962608660450378</v>
      </c>
      <c r="Q16" s="34">
        <f>Q12*Q13*Assumptions!$C$41*Assumptions!$C$42/100000</f>
        <v>18.20914707001806</v>
      </c>
      <c r="R16" s="34">
        <f>R12*R13*Assumptions!$C$41*Assumptions!$C$42/100000</f>
        <v>20.771857787823073</v>
      </c>
      <c r="S16" s="34">
        <f>S12*S13*Assumptions!$C$41*Assumptions!$C$42/100000</f>
        <v>23.695238129411067</v>
      </c>
      <c r="T16" s="34">
        <f>T12*T13*Assumptions!$C$41*Assumptions!$C$42/100000</f>
        <v>26.55583648758023</v>
      </c>
      <c r="U16" s="34">
        <f>U12*U13*Assumptions!$C$41*Assumptions!$C$42/100000</f>
        <v>30.293239811597147</v>
      </c>
      <c r="V16" s="34">
        <f>V12*V13*Assumptions!$C$41*Assumptions!$C$42/100000</f>
        <v>32.452473878360934</v>
      </c>
      <c r="W16" s="34">
        <f>W12*W13*Assumptions!$C$41*Assumptions!$C$42/100000</f>
        <v>34.76561329774027</v>
      </c>
      <c r="X16" s="34">
        <f>X12*X13*Assumptions!$C$41*Assumptions!$C$42/100000</f>
        <v>37.2436280974544</v>
      </c>
      <c r="Y16" s="34">
        <f>Y12*Y13*Assumptions!$C$41*Assumptions!$C$42/100000</f>
        <v>39.89827022414824</v>
      </c>
      <c r="Z16" s="34">
        <f>Z12*Z13*Assumptions!$C$41*Assumptions!$C$42/100000</f>
        <v>42.742129276818524</v>
      </c>
      <c r="AA16" s="34">
        <f>AA12*AA13*Assumptions!$C$41*Assumptions!$C$42/100000</f>
        <v>45.78869221279043</v>
      </c>
      <c r="AB16" s="34">
        <f>AB12*AB13*Assumptions!$C$41*Assumptions!$C$42/100000</f>
        <v>49.05240730940325</v>
      </c>
      <c r="AC16" s="34">
        <f>AC12*AC13*Assumptions!$C$41*Assumptions!$C$42/100000</f>
        <v>52.54875268474003</v>
      </c>
      <c r="AD16" s="34">
        <f>AD12*AD13*Assumptions!$C$41*Assumptions!$C$42/100000</f>
        <v>56.294309702361645</v>
      </c>
      <c r="AE16" s="34">
        <f>AE12*AE13*Assumptions!$C$41*Assumptions!$C$42/100000</f>
        <v>60.30684160816843</v>
      </c>
      <c r="AF16" s="34">
        <f>AF12*AF13*Assumptions!$C$41*Assumptions!$C$42/100000</f>
        <v>63.451710312094384</v>
      </c>
      <c r="AG16" s="34">
        <f>AG12*AG13*Assumptions!$C$41*Assumptions!$C$42/100000</f>
        <v>67.97440565113351</v>
      </c>
      <c r="AH16" s="34">
        <f>AH12*AH13*Assumptions!$C$41*Assumptions!$C$42/100000</f>
        <v>71.89713852979625</v>
      </c>
      <c r="AI16" s="34">
        <f>AI12*AI13*Assumptions!$C$41*Assumptions!$C$42/100000</f>
        <v>76.0462482791359</v>
      </c>
      <c r="AJ16" s="34">
        <f>AJ12*AJ13*Assumptions!$C$41*Assumptions!$C$42/100000</f>
        <v>80.4347988749964</v>
      </c>
      <c r="AK16" s="34">
        <f>AK12*AK13*Assumptions!$C$41*Assumptions!$C$42/100000</f>
        <v>85.07660820180392</v>
      </c>
      <c r="AL16" s="34">
        <f>AL12*AL13*Assumptions!$C$41*Assumptions!$C$42/100000</f>
        <v>89.98629155984935</v>
      </c>
      <c r="AM16" s="34">
        <f>AM12*AM13*Assumptions!$C$41*Assumptions!$C$42/100000</f>
        <v>95.17930768333646</v>
      </c>
      <c r="AN16" s="34">
        <f>AN12*AN13*Assumptions!$C$41*Assumptions!$C$42/100000</f>
        <v>100.67200741408679</v>
      </c>
      <c r="AO16" s="34">
        <f>AO12*AO13*Assumptions!$C$41*Assumptions!$C$42/100000</f>
        <v>106.48168518414433</v>
      </c>
      <c r="AP16" s="34">
        <f>AP12*AP13*Assumptions!$C$41*Assumptions!$C$42/100000</f>
        <v>112.62663346940077</v>
      </c>
      <c r="AQ16" s="34">
        <f>AQ12*AQ13*Assumptions!$C$41*Assumptions!$C$42/100000</f>
        <v>119.12620038567628</v>
      </c>
      <c r="AR16" s="34">
        <f>AR12*AR13*Assumptions!$C$41*Assumptions!$C$42/100000</f>
        <v>123.70992605208698</v>
      </c>
      <c r="AS16" s="34">
        <f>AS12*AS13*Assumptions!$C$41*Assumptions!$C$42/100000</f>
        <v>130.84909835808952</v>
      </c>
      <c r="AT16" s="34">
        <f>AT12*AT13*Assumptions!$C$41*Assumptions!$C$42/100000</f>
        <v>134.43546980528356</v>
      </c>
      <c r="AU16" s="34">
        <f>AU12*AU13*Assumptions!$C$41*Assumptions!$C$42/100000</f>
        <v>138.12013814805258</v>
      </c>
      <c r="AV16" s="34">
        <f>AV12*AV13*Assumptions!$C$41*Assumptions!$C$42/100000</f>
        <v>141.90579755230212</v>
      </c>
      <c r="AW16" s="34">
        <f>AW12*AW13*Assumptions!$C$41*Assumptions!$C$42/100000</f>
        <v>145.7952160268574</v>
      </c>
      <c r="AX16" s="34">
        <f>AX12*AX13*Assumptions!$C$41*Assumptions!$C$42/100000</f>
        <v>149.79123744739</v>
      </c>
      <c r="AY16" s="34">
        <f>AY12*AY13*Assumptions!$C$41*Assumptions!$C$42/100000</f>
        <v>153.8967836358032</v>
      </c>
      <c r="AZ16" s="34">
        <f>AZ12*AZ13*Assumptions!$C$41*Assumptions!$C$42/100000</f>
        <v>158.11485649661972</v>
      </c>
      <c r="BA16" s="34">
        <f>BA12*BA13*Assumptions!$C$41*Assumptions!$C$42/100000</f>
        <v>162.44854021192458</v>
      </c>
      <c r="BB16" s="34">
        <f>BB12*BB13*Assumptions!$C$41*Assumptions!$C$42/100000</f>
        <v>166.90100349646437</v>
      </c>
      <c r="BC16" s="34">
        <f>BC12*BC13*Assumptions!$C$41*Assumptions!$C$42/100000</f>
        <v>171.47550191455528</v>
      </c>
    </row>
    <row r="17">
      <c r="A17" s="4" t="inlineStr">
        <is>
          <t>Loan origination</t>
        </is>
      </c>
      <c r="B17" s="2" t="inlineStr">
        <is>
          <t>₹ lakh</t>
        </is>
      </c>
      <c r="C17" s="34">
        <f>C12*Assumptions!$C$44*Assumptions!$C$45*Assumptions!$C$46/100000</f>
        <v>0.0</v>
      </c>
      <c r="D17" s="34">
        <f>D12*Assumptions!$C$44*Assumptions!$C$45*Assumptions!$C$46/100000</f>
        <v>0.0</v>
      </c>
      <c r="E17" s="34">
        <f>E12*Assumptions!$C$44*Assumptions!$C$45*Assumptions!$C$46/100000</f>
        <v>0.28672</v>
      </c>
      <c r="F17" s="34">
        <f>F12*Assumptions!$C$44*Assumptions!$C$45*Assumptions!$C$46/100000</f>
        <v>0.5017600000000001</v>
      </c>
      <c r="G17" s="34">
        <f>G12*Assumptions!$C$44*Assumptions!$C$45*Assumptions!$C$46/100000</f>
        <v>0.7168</v>
      </c>
      <c r="H17" s="34">
        <f>H12*Assumptions!$C$44*Assumptions!$C$45*Assumptions!$C$46/100000</f>
        <v>0.93184</v>
      </c>
      <c r="I17" s="34">
        <f>I12*Assumptions!$C$44*Assumptions!$C$45*Assumptions!$C$46/100000</f>
        <v>1.14688</v>
      </c>
      <c r="J17" s="34">
        <f>J12*Assumptions!$C$44*Assumptions!$C$45*Assumptions!$C$46/100000</f>
        <v>1.3082890795540787</v>
      </c>
      <c r="K17" s="34">
        <f>K12*Assumptions!$C$44*Assumptions!$C$45*Assumptions!$C$46/100000</f>
        <v>1.4924144772604209</v>
      </c>
      <c r="L17" s="34">
        <f>L12*Assumptions!$C$44*Assumptions!$C$45*Assumptions!$C$46/100000</f>
        <v>1.702453232045368</v>
      </c>
      <c r="M17" s="34">
        <f>M12*Assumptions!$C$44*Assumptions!$C$45*Assumptions!$C$46/100000</f>
        <v>1.9420523262559994</v>
      </c>
      <c r="N17" s="34">
        <f>N12*Assumptions!$C$44*Assumptions!$C$45*Assumptions!$C$46/100000</f>
        <v>2.2153720095940965</v>
      </c>
      <c r="O17" s="34">
        <f>O12*Assumptions!$C$44*Assumptions!$C$45*Assumptions!$C$46/100000</f>
        <v>2.5271580351054284</v>
      </c>
      <c r="P17" s="34">
        <f>P12*Assumptions!$C$44*Assumptions!$C$45*Assumptions!$C$46/100000</f>
        <v>2.8828240614848464</v>
      </c>
      <c r="Q17" s="34">
        <f>Q12*Assumptions!$C$44*Assumptions!$C$45*Assumptions!$C$46/100000</f>
        <v>3.288545652480041</v>
      </c>
      <c r="R17" s="34">
        <f>R12*Assumptions!$C$44*Assumptions!$C$45*Assumptions!$C$46/100000</f>
        <v>3.7513675055408022</v>
      </c>
      <c r="S17" s="34">
        <f>S12*Assumptions!$C$44*Assumptions!$C$45*Assumptions!$C$46/100000</f>
        <v>4.279325771565466</v>
      </c>
      <c r="T17" s="34">
        <f>T12*Assumptions!$C$44*Assumptions!$C$45*Assumptions!$C$46/100000</f>
        <v>4.881587589628719</v>
      </c>
      <c r="U17" s="34">
        <f>U12*Assumptions!$C$44*Assumptions!$C$45*Assumptions!$C$46/100000</f>
        <v>5.56861025948477</v>
      </c>
      <c r="V17" s="34">
        <f>V12*Assumptions!$C$44*Assumptions!$C$45*Assumptions!$C$46/100000</f>
        <v>5.965528286463408</v>
      </c>
      <c r="W17" s="34">
        <f>W12*Assumptions!$C$44*Assumptions!$C$45*Assumptions!$C$46/100000</f>
        <v>6.390737738555197</v>
      </c>
      <c r="X17" s="34">
        <f>X12*Assumptions!$C$44*Assumptions!$C$45*Assumptions!$C$46/100000</f>
        <v>6.846255164973235</v>
      </c>
      <c r="Y17" s="34">
        <f>Y12*Assumptions!$C$44*Assumptions!$C$45*Assumptions!$C$46/100000</f>
        <v>7.33424085002725</v>
      </c>
      <c r="Z17" s="34">
        <f>Z12*Assumptions!$C$44*Assumptions!$C$45*Assumptions!$C$46/100000</f>
        <v>7.857009058238699</v>
      </c>
      <c r="AA17" s="34">
        <f>AA12*Assumptions!$C$44*Assumptions!$C$45*Assumptions!$C$46/100000</f>
        <v>8.417039009704121</v>
      </c>
      <c r="AB17" s="34">
        <f>AB12*Assumptions!$C$44*Assumptions!$C$45*Assumptions!$C$46/100000</f>
        <v>9.01698663775795</v>
      </c>
      <c r="AC17" s="34">
        <f>AC12*Assumptions!$C$44*Assumptions!$C$45*Assumptions!$C$46/100000</f>
        <v>9.65969718469486</v>
      </c>
      <c r="AD17" s="34">
        <f>AD12*Assumptions!$C$44*Assumptions!$C$45*Assumptions!$C$46/100000</f>
        <v>10.348218695287066</v>
      </c>
      <c r="AE17" s="34">
        <f>AE12*Assumptions!$C$44*Assumptions!$C$45*Assumptions!$C$46/100000</f>
        <v>11.085816472089787</v>
      </c>
      <c r="AF17" s="34">
        <f>AF12*Assumptions!$C$44*Assumptions!$C$45*Assumptions!$C$46/100000</f>
        <v>11.875988561087183</v>
      </c>
      <c r="AG17" s="34">
        <f>AG12*Assumptions!$C$44*Assumptions!$C$45*Assumptions!$C$46/100000</f>
        <v>12.722482341121244</v>
      </c>
      <c r="AH17" s="34">
        <f>AH12*Assumptions!$C$44*Assumptions!$C$45*Assumptions!$C$46/100000</f>
        <v>13.456683682047426</v>
      </c>
      <c r="AI17" s="34">
        <f>AI12*Assumptions!$C$44*Assumptions!$C$45*Assumptions!$C$46/100000</f>
        <v>14.233255025506718</v>
      </c>
      <c r="AJ17" s="34">
        <f>AJ12*Assumptions!$C$44*Assumptions!$C$45*Assumptions!$C$46/100000</f>
        <v>15.05464150066777</v>
      </c>
      <c r="AK17" s="34">
        <f>AK12*Assumptions!$C$44*Assumptions!$C$45*Assumptions!$C$46/100000</f>
        <v>15.923429342583619</v>
      </c>
      <c r="AL17" s="34">
        <f>AL12*Assumptions!$C$44*Assumptions!$C$45*Assumptions!$C$46/100000</f>
        <v>16.842354035265924</v>
      </c>
      <c r="AM17" s="34">
        <f>AM12*Assumptions!$C$44*Assumptions!$C$45*Assumptions!$C$46/100000</f>
        <v>17.81430892468864</v>
      </c>
      <c r="AN17" s="34">
        <f>AN12*Assumptions!$C$44*Assumptions!$C$45*Assumptions!$C$46/100000</f>
        <v>18.842354328839775</v>
      </c>
      <c r="AO17" s="34">
        <f>AO12*Assumptions!$C$44*Assumptions!$C$45*Assumptions!$C$46/100000</f>
        <v>19.929727173502947</v>
      </c>
      <c r="AP17" s="34">
        <f>AP12*Assumptions!$C$44*Assumptions!$C$45*Assumptions!$C$46/100000</f>
        <v>21.079851184112442</v>
      </c>
      <c r="AQ17" s="34">
        <f>AQ12*Assumptions!$C$44*Assumptions!$C$45*Assumptions!$C$46/100000</f>
        <v>22.296347665768288</v>
      </c>
      <c r="AR17" s="34">
        <f>AR12*Assumptions!$C$44*Assumptions!$C$45*Assumptions!$C$46/100000</f>
        <v>23.583046905354276</v>
      </c>
      <c r="AS17" s="34">
        <f>AS12*Assumptions!$C$44*Assumptions!$C$45*Assumptions!$C$46/100000</f>
        <v>24.944000231661946</v>
      </c>
      <c r="AT17" s="34">
        <f>AT12*Assumptions!$C$44*Assumptions!$C$45*Assumptions!$C$46/100000</f>
        <v>25.627676705800244</v>
      </c>
      <c r="AU17" s="34">
        <f>AU12*Assumptions!$C$44*Assumptions!$C$45*Assumptions!$C$46/100000</f>
        <v>26.33009169489019</v>
      </c>
      <c r="AV17" s="34">
        <f>AV12*Assumptions!$C$44*Assumptions!$C$45*Assumptions!$C$46/100000</f>
        <v>27.051758792650183</v>
      </c>
      <c r="AW17" s="34">
        <f>AW12*Assumptions!$C$44*Assumptions!$C$45*Assumptions!$C$46/100000</f>
        <v>27.793205669607882</v>
      </c>
      <c r="AX17" s="34">
        <f>AX12*Assumptions!$C$44*Assumptions!$C$45*Assumptions!$C$46/100000</f>
        <v>28.554974458925106</v>
      </c>
      <c r="AY17" s="34">
        <f>AY12*Assumptions!$C$44*Assumptions!$C$45*Assumptions!$C$46/100000</f>
        <v>29.337622152794726</v>
      </c>
      <c r="AZ17" s="34">
        <f>AZ12*Assumptions!$C$44*Assumptions!$C$45*Assumptions!$C$46/100000</f>
        <v>30.14172100970419</v>
      </c>
      <c r="BA17" s="34">
        <f>BA12*Assumptions!$C$44*Assumptions!$C$45*Assumptions!$C$46/100000</f>
        <v>30.967858972861446</v>
      </c>
      <c r="BB17" s="34">
        <f>BB12*Assumptions!$C$44*Assumptions!$C$45*Assumptions!$C$46/100000</f>
        <v>31.816640100088524</v>
      </c>
      <c r="BC17" s="34">
        <f>BC12*Assumptions!$C$44*Assumptions!$C$45*Assumptions!$C$46/100000</f>
        <v>32.68868500549801</v>
      </c>
    </row>
    <row r="18">
      <c r="A18" s="4" t="inlineStr">
        <is>
          <t>Paying SaaS installers</t>
        </is>
      </c>
      <c r="B18" s="2" t="inlineStr">
        <is>
          <t>count (ramp)</t>
        </is>
      </c>
      <c r="C18" s="34">
        <f>(INDEX(Assumptions!$C$14:$G$14,1,C$4)+(INDEX(Assumptions!$C$14:$G$14,1,C$4)-IF(C$4=1,0,INDEX(Assumptions!$C$14:$G$14,1,MAX(1,C$4-1))))*(C$5-(C$6+1)/2)/C$6)</f>
        <v>15.0</v>
      </c>
      <c r="D18" s="34">
        <f>(INDEX(Assumptions!$C$14:$G$14,1,D$4)+(INDEX(Assumptions!$C$14:$G$14,1,D$4)-IF(D$4=1,0,INDEX(Assumptions!$C$14:$G$14,1,MAX(1,D$4-1))))*(D$5-(D$6+1)/2)/D$6)</f>
        <v>20.0</v>
      </c>
      <c r="E18" s="34">
        <f>(INDEX(Assumptions!$C$14:$G$14,1,E$4)+(INDEX(Assumptions!$C$14:$G$14,1,E$4)-IF(E$4=1,0,INDEX(Assumptions!$C$14:$G$14,1,MAX(1,E$4-1))))*(E$5-(E$6+1)/2)/E$6)</f>
        <v>25.0</v>
      </c>
      <c r="F18" s="34">
        <f>(INDEX(Assumptions!$C$14:$G$14,1,F$4)+(INDEX(Assumptions!$C$14:$G$14,1,F$4)-IF(F$4=1,0,INDEX(Assumptions!$C$14:$G$14,1,MAX(1,F$4-1))))*(F$5-(F$6+1)/2)/F$6)</f>
        <v>30.0</v>
      </c>
      <c r="G18" s="34">
        <f>(INDEX(Assumptions!$C$14:$G$14,1,G$4)+(INDEX(Assumptions!$C$14:$G$14,1,G$4)-IF(G$4=1,0,INDEX(Assumptions!$C$14:$G$14,1,MAX(1,G$4-1))))*(G$5-(G$6+1)/2)/G$6)</f>
        <v>35.0</v>
      </c>
      <c r="H18" s="34">
        <f>(INDEX(Assumptions!$C$14:$G$14,1,H$4)+(INDEX(Assumptions!$C$14:$G$14,1,H$4)-IF(H$4=1,0,INDEX(Assumptions!$C$14:$G$14,1,MAX(1,H$4-1))))*(H$5-(H$6+1)/2)/H$6)</f>
        <v>173.95833333333331</v>
      </c>
      <c r="I18" s="34">
        <f>(INDEX(Assumptions!$C$14:$G$14,1,I$4)+(INDEX(Assumptions!$C$14:$G$14,1,I$4)-IF(I$4=1,0,INDEX(Assumptions!$C$14:$G$14,1,MAX(1,I$4-1))))*(I$5-(I$6+1)/2)/I$6)</f>
        <v>196.875</v>
      </c>
      <c r="J18" s="34">
        <f>(INDEX(Assumptions!$C$14:$G$14,1,J$4)+(INDEX(Assumptions!$C$14:$G$14,1,J$4)-IF(J$4=1,0,INDEX(Assumptions!$C$14:$G$14,1,MAX(1,J$4-1))))*(J$5-(J$6+1)/2)/J$6)</f>
        <v>219.79166666666669</v>
      </c>
      <c r="K18" s="34">
        <f>(INDEX(Assumptions!$C$14:$G$14,1,K$4)+(INDEX(Assumptions!$C$14:$G$14,1,K$4)-IF(K$4=1,0,INDEX(Assumptions!$C$14:$G$14,1,MAX(1,K$4-1))))*(K$5-(K$6+1)/2)/K$6)</f>
        <v>242.70833333333334</v>
      </c>
      <c r="L18" s="34">
        <f>(INDEX(Assumptions!$C$14:$G$14,1,L$4)+(INDEX(Assumptions!$C$14:$G$14,1,L$4)-IF(L$4=1,0,INDEX(Assumptions!$C$14:$G$14,1,MAX(1,L$4-1))))*(L$5-(L$6+1)/2)/L$6)</f>
        <v>265.625</v>
      </c>
      <c r="M18" s="34">
        <f>(INDEX(Assumptions!$C$14:$G$14,1,M$4)+(INDEX(Assumptions!$C$14:$G$14,1,M$4)-IF(M$4=1,0,INDEX(Assumptions!$C$14:$G$14,1,MAX(1,M$4-1))))*(M$5-(M$6+1)/2)/M$6)</f>
        <v>288.5416666666667</v>
      </c>
      <c r="N18" s="34">
        <f>(INDEX(Assumptions!$C$14:$G$14,1,N$4)+(INDEX(Assumptions!$C$14:$G$14,1,N$4)-IF(N$4=1,0,INDEX(Assumptions!$C$14:$G$14,1,MAX(1,N$4-1))))*(N$5-(N$6+1)/2)/N$6)</f>
        <v>311.4583333333333</v>
      </c>
      <c r="O18" s="34">
        <f>(INDEX(Assumptions!$C$14:$G$14,1,O$4)+(INDEX(Assumptions!$C$14:$G$14,1,O$4)-IF(O$4=1,0,INDEX(Assumptions!$C$14:$G$14,1,MAX(1,O$4-1))))*(O$5-(O$6+1)/2)/O$6)</f>
        <v>334.375</v>
      </c>
      <c r="P18" s="34">
        <f>(INDEX(Assumptions!$C$14:$G$14,1,P$4)+(INDEX(Assumptions!$C$14:$G$14,1,P$4)-IF(P$4=1,0,INDEX(Assumptions!$C$14:$G$14,1,MAX(1,P$4-1))))*(P$5-(P$6+1)/2)/P$6)</f>
        <v>357.2916666666667</v>
      </c>
      <c r="Q18" s="34">
        <f>(INDEX(Assumptions!$C$14:$G$14,1,Q$4)+(INDEX(Assumptions!$C$14:$G$14,1,Q$4)-IF(Q$4=1,0,INDEX(Assumptions!$C$14:$G$14,1,MAX(1,Q$4-1))))*(Q$5-(Q$6+1)/2)/Q$6)</f>
        <v>380.2083333333333</v>
      </c>
      <c r="R18" s="34">
        <f>(INDEX(Assumptions!$C$14:$G$14,1,R$4)+(INDEX(Assumptions!$C$14:$G$14,1,R$4)-IF(R$4=1,0,INDEX(Assumptions!$C$14:$G$14,1,MAX(1,R$4-1))))*(R$5-(R$6+1)/2)/R$6)</f>
        <v>403.125</v>
      </c>
      <c r="S18" s="34">
        <f>(INDEX(Assumptions!$C$14:$G$14,1,S$4)+(INDEX(Assumptions!$C$14:$G$14,1,S$4)-IF(S$4=1,0,INDEX(Assumptions!$C$14:$G$14,1,MAX(1,S$4-1))))*(S$5-(S$6+1)/2)/S$6)</f>
        <v>426.0416666666667</v>
      </c>
      <c r="T18" s="34">
        <f>(INDEX(Assumptions!$C$14:$G$14,1,T$4)+(INDEX(Assumptions!$C$14:$G$14,1,T$4)-IF(T$4=1,0,INDEX(Assumptions!$C$14:$G$14,1,MAX(1,T$4-1))))*(T$5-(T$6+1)/2)/T$6)</f>
        <v>625.0</v>
      </c>
      <c r="U18" s="34">
        <f>(INDEX(Assumptions!$C$14:$G$14,1,U$4)+(INDEX(Assumptions!$C$14:$G$14,1,U$4)-IF(U$4=1,0,INDEX(Assumptions!$C$14:$G$14,1,MAX(1,U$4-1))))*(U$5-(U$6+1)/2)/U$6)</f>
        <v>675.0</v>
      </c>
      <c r="V18" s="34">
        <f>(INDEX(Assumptions!$C$14:$G$14,1,V$4)+(INDEX(Assumptions!$C$14:$G$14,1,V$4)-IF(V$4=1,0,INDEX(Assumptions!$C$14:$G$14,1,MAX(1,V$4-1))))*(V$5-(V$6+1)/2)/V$6)</f>
        <v>725.0</v>
      </c>
      <c r="W18" s="34">
        <f>(INDEX(Assumptions!$C$14:$G$14,1,W$4)+(INDEX(Assumptions!$C$14:$G$14,1,W$4)-IF(W$4=1,0,INDEX(Assumptions!$C$14:$G$14,1,MAX(1,W$4-1))))*(W$5-(W$6+1)/2)/W$6)</f>
        <v>775.0</v>
      </c>
      <c r="X18" s="34">
        <f>(INDEX(Assumptions!$C$14:$G$14,1,X$4)+(INDEX(Assumptions!$C$14:$G$14,1,X$4)-IF(X$4=1,0,INDEX(Assumptions!$C$14:$G$14,1,MAX(1,X$4-1))))*(X$5-(X$6+1)/2)/X$6)</f>
        <v>825.0</v>
      </c>
      <c r="Y18" s="34">
        <f>(INDEX(Assumptions!$C$14:$G$14,1,Y$4)+(INDEX(Assumptions!$C$14:$G$14,1,Y$4)-IF(Y$4=1,0,INDEX(Assumptions!$C$14:$G$14,1,MAX(1,Y$4-1))))*(Y$5-(Y$6+1)/2)/Y$6)</f>
        <v>875.0</v>
      </c>
      <c r="Z18" s="34">
        <f>(INDEX(Assumptions!$C$14:$G$14,1,Z$4)+(INDEX(Assumptions!$C$14:$G$14,1,Z$4)-IF(Z$4=1,0,INDEX(Assumptions!$C$14:$G$14,1,MAX(1,Z$4-1))))*(Z$5-(Z$6+1)/2)/Z$6)</f>
        <v>925.0</v>
      </c>
      <c r="AA18" s="34">
        <f>(INDEX(Assumptions!$C$14:$G$14,1,AA$4)+(INDEX(Assumptions!$C$14:$G$14,1,AA$4)-IF(AA$4=1,0,INDEX(Assumptions!$C$14:$G$14,1,MAX(1,AA$4-1))))*(AA$5-(AA$6+1)/2)/AA$6)</f>
        <v>975.0</v>
      </c>
      <c r="AB18" s="34">
        <f>(INDEX(Assumptions!$C$14:$G$14,1,AB$4)+(INDEX(Assumptions!$C$14:$G$14,1,AB$4)-IF(AB$4=1,0,INDEX(Assumptions!$C$14:$G$14,1,MAX(1,AB$4-1))))*(AB$5-(AB$6+1)/2)/AB$6)</f>
        <v>1025.0</v>
      </c>
      <c r="AC18" s="34">
        <f>(INDEX(Assumptions!$C$14:$G$14,1,AC$4)+(INDEX(Assumptions!$C$14:$G$14,1,AC$4)-IF(AC$4=1,0,INDEX(Assumptions!$C$14:$G$14,1,MAX(1,AC$4-1))))*(AC$5-(AC$6+1)/2)/AC$6)</f>
        <v>1075.0</v>
      </c>
      <c r="AD18" s="34">
        <f>(INDEX(Assumptions!$C$14:$G$14,1,AD$4)+(INDEX(Assumptions!$C$14:$G$14,1,AD$4)-IF(AD$4=1,0,INDEX(Assumptions!$C$14:$G$14,1,MAX(1,AD$4-1))))*(AD$5-(AD$6+1)/2)/AD$6)</f>
        <v>1125.0</v>
      </c>
      <c r="AE18" s="34">
        <f>(INDEX(Assumptions!$C$14:$G$14,1,AE$4)+(INDEX(Assumptions!$C$14:$G$14,1,AE$4)-IF(AE$4=1,0,INDEX(Assumptions!$C$14:$G$14,1,MAX(1,AE$4-1))))*(AE$5-(AE$6+1)/2)/AE$6)</f>
        <v>1175.0</v>
      </c>
      <c r="AF18" s="34">
        <f>(INDEX(Assumptions!$C$14:$G$14,1,AF$4)+(INDEX(Assumptions!$C$14:$G$14,1,AF$4)-IF(AF$4=1,0,INDEX(Assumptions!$C$14:$G$14,1,MAX(1,AF$4-1))))*(AF$5-(AF$6+1)/2)/AF$6)</f>
        <v>1279.1666666666667</v>
      </c>
      <c r="AG18" s="34">
        <f>(INDEX(Assumptions!$C$14:$G$14,1,AG$4)+(INDEX(Assumptions!$C$14:$G$14,1,AG$4)-IF(AG$4=1,0,INDEX(Assumptions!$C$14:$G$14,1,MAX(1,AG$4-1))))*(AG$5-(AG$6+1)/2)/AG$6)</f>
        <v>1337.5</v>
      </c>
      <c r="AH18" s="34">
        <f>(INDEX(Assumptions!$C$14:$G$14,1,AH$4)+(INDEX(Assumptions!$C$14:$G$14,1,AH$4)-IF(AH$4=1,0,INDEX(Assumptions!$C$14:$G$14,1,MAX(1,AH$4-1))))*(AH$5-(AH$6+1)/2)/AH$6)</f>
        <v>1395.8333333333333</v>
      </c>
      <c r="AI18" s="34">
        <f>(INDEX(Assumptions!$C$14:$G$14,1,AI$4)+(INDEX(Assumptions!$C$14:$G$14,1,AI$4)-IF(AI$4=1,0,INDEX(Assumptions!$C$14:$G$14,1,MAX(1,AI$4-1))))*(AI$5-(AI$6+1)/2)/AI$6)</f>
        <v>1454.1666666666667</v>
      </c>
      <c r="AJ18" s="34">
        <f>(INDEX(Assumptions!$C$14:$G$14,1,AJ$4)+(INDEX(Assumptions!$C$14:$G$14,1,AJ$4)-IF(AJ$4=1,0,INDEX(Assumptions!$C$14:$G$14,1,MAX(1,AJ$4-1))))*(AJ$5-(AJ$6+1)/2)/AJ$6)</f>
        <v>1512.5</v>
      </c>
      <c r="AK18" s="34">
        <f>(INDEX(Assumptions!$C$14:$G$14,1,AK$4)+(INDEX(Assumptions!$C$14:$G$14,1,AK$4)-IF(AK$4=1,0,INDEX(Assumptions!$C$14:$G$14,1,MAX(1,AK$4-1))))*(AK$5-(AK$6+1)/2)/AK$6)</f>
        <v>1570.8333333333333</v>
      </c>
      <c r="AL18" s="34">
        <f>(INDEX(Assumptions!$C$14:$G$14,1,AL$4)+(INDEX(Assumptions!$C$14:$G$14,1,AL$4)-IF(AL$4=1,0,INDEX(Assumptions!$C$14:$G$14,1,MAX(1,AL$4-1))))*(AL$5-(AL$6+1)/2)/AL$6)</f>
        <v>1629.1666666666667</v>
      </c>
      <c r="AM18" s="34">
        <f>(INDEX(Assumptions!$C$14:$G$14,1,AM$4)+(INDEX(Assumptions!$C$14:$G$14,1,AM$4)-IF(AM$4=1,0,INDEX(Assumptions!$C$14:$G$14,1,MAX(1,AM$4-1))))*(AM$5-(AM$6+1)/2)/AM$6)</f>
        <v>1687.5</v>
      </c>
      <c r="AN18" s="34">
        <f>(INDEX(Assumptions!$C$14:$G$14,1,AN$4)+(INDEX(Assumptions!$C$14:$G$14,1,AN$4)-IF(AN$4=1,0,INDEX(Assumptions!$C$14:$G$14,1,MAX(1,AN$4-1))))*(AN$5-(AN$6+1)/2)/AN$6)</f>
        <v>1745.8333333333333</v>
      </c>
      <c r="AO18" s="34">
        <f>(INDEX(Assumptions!$C$14:$G$14,1,AO$4)+(INDEX(Assumptions!$C$14:$G$14,1,AO$4)-IF(AO$4=1,0,INDEX(Assumptions!$C$14:$G$14,1,MAX(1,AO$4-1))))*(AO$5-(AO$6+1)/2)/AO$6)</f>
        <v>1804.1666666666667</v>
      </c>
      <c r="AP18" s="34">
        <f>(INDEX(Assumptions!$C$14:$G$14,1,AP$4)+(INDEX(Assumptions!$C$14:$G$14,1,AP$4)-IF(AP$4=1,0,INDEX(Assumptions!$C$14:$G$14,1,MAX(1,AP$4-1))))*(AP$5-(AP$6+1)/2)/AP$6)</f>
        <v>1862.5</v>
      </c>
      <c r="AQ18" s="34">
        <f>(INDEX(Assumptions!$C$14:$G$14,1,AQ$4)+(INDEX(Assumptions!$C$14:$G$14,1,AQ$4)-IF(AQ$4=1,0,INDEX(Assumptions!$C$14:$G$14,1,MAX(1,AQ$4-1))))*(AQ$5-(AQ$6+1)/2)/AQ$6)</f>
        <v>1920.8333333333333</v>
      </c>
      <c r="AR18" s="34">
        <f>(INDEX(Assumptions!$C$14:$G$14,1,AR$4)+(INDEX(Assumptions!$C$14:$G$14,1,AR$4)-IF(AR$4=1,0,INDEX(Assumptions!$C$14:$G$14,1,MAX(1,AR$4-1))))*(AR$5-(AR$6+1)/2)/AR$6)</f>
        <v>2087.5</v>
      </c>
      <c r="AS18" s="34">
        <f>(INDEX(Assumptions!$C$14:$G$14,1,AS$4)+(INDEX(Assumptions!$C$14:$G$14,1,AS$4)-IF(AS$4=1,0,INDEX(Assumptions!$C$14:$G$14,1,MAX(1,AS$4-1))))*(AS$5-(AS$6+1)/2)/AS$6)</f>
        <v>2162.5</v>
      </c>
      <c r="AT18" s="34">
        <f>(INDEX(Assumptions!$C$14:$G$14,1,AT$4)+(INDEX(Assumptions!$C$14:$G$14,1,AT$4)-IF(AT$4=1,0,INDEX(Assumptions!$C$14:$G$14,1,MAX(1,AT$4-1))))*(AT$5-(AT$6+1)/2)/AT$6)</f>
        <v>2237.5</v>
      </c>
      <c r="AU18" s="34">
        <f>(INDEX(Assumptions!$C$14:$G$14,1,AU$4)+(INDEX(Assumptions!$C$14:$G$14,1,AU$4)-IF(AU$4=1,0,INDEX(Assumptions!$C$14:$G$14,1,MAX(1,AU$4-1))))*(AU$5-(AU$6+1)/2)/AU$6)</f>
        <v>2312.5</v>
      </c>
      <c r="AV18" s="34">
        <f>(INDEX(Assumptions!$C$14:$G$14,1,AV$4)+(INDEX(Assumptions!$C$14:$G$14,1,AV$4)-IF(AV$4=1,0,INDEX(Assumptions!$C$14:$G$14,1,MAX(1,AV$4-1))))*(AV$5-(AV$6+1)/2)/AV$6)</f>
        <v>2387.5</v>
      </c>
      <c r="AW18" s="34">
        <f>(INDEX(Assumptions!$C$14:$G$14,1,AW$4)+(INDEX(Assumptions!$C$14:$G$14,1,AW$4)-IF(AW$4=1,0,INDEX(Assumptions!$C$14:$G$14,1,MAX(1,AW$4-1))))*(AW$5-(AW$6+1)/2)/AW$6)</f>
        <v>2462.5</v>
      </c>
      <c r="AX18" s="34">
        <f>(INDEX(Assumptions!$C$14:$G$14,1,AX$4)+(INDEX(Assumptions!$C$14:$G$14,1,AX$4)-IF(AX$4=1,0,INDEX(Assumptions!$C$14:$G$14,1,MAX(1,AX$4-1))))*(AX$5-(AX$6+1)/2)/AX$6)</f>
        <v>2537.5</v>
      </c>
      <c r="AY18" s="34">
        <f>(INDEX(Assumptions!$C$14:$G$14,1,AY$4)+(INDEX(Assumptions!$C$14:$G$14,1,AY$4)-IF(AY$4=1,0,INDEX(Assumptions!$C$14:$G$14,1,MAX(1,AY$4-1))))*(AY$5-(AY$6+1)/2)/AY$6)</f>
        <v>2612.5</v>
      </c>
      <c r="AZ18" s="34">
        <f>(INDEX(Assumptions!$C$14:$G$14,1,AZ$4)+(INDEX(Assumptions!$C$14:$G$14,1,AZ$4)-IF(AZ$4=1,0,INDEX(Assumptions!$C$14:$G$14,1,MAX(1,AZ$4-1))))*(AZ$5-(AZ$6+1)/2)/AZ$6)</f>
        <v>2687.5</v>
      </c>
      <c r="BA18" s="34">
        <f>(INDEX(Assumptions!$C$14:$G$14,1,BA$4)+(INDEX(Assumptions!$C$14:$G$14,1,BA$4)-IF(BA$4=1,0,INDEX(Assumptions!$C$14:$G$14,1,MAX(1,BA$4-1))))*(BA$5-(BA$6+1)/2)/BA$6)</f>
        <v>2762.5</v>
      </c>
      <c r="BB18" s="34">
        <f>(INDEX(Assumptions!$C$14:$G$14,1,BB$4)+(INDEX(Assumptions!$C$14:$G$14,1,BB$4)-IF(BB$4=1,0,INDEX(Assumptions!$C$14:$G$14,1,MAX(1,BB$4-1))))*(BB$5-(BB$6+1)/2)/BB$6)</f>
        <v>2837.5</v>
      </c>
      <c r="BC18" s="34">
        <f>(INDEX(Assumptions!$C$14:$G$14,1,BC$4)+(INDEX(Assumptions!$C$14:$G$14,1,BC$4)-IF(BC$4=1,0,INDEX(Assumptions!$C$14:$G$14,1,MAX(1,BC$4-1))))*(BC$5-(BC$6+1)/2)/BC$6)</f>
        <v>2912.5</v>
      </c>
    </row>
    <row r="19">
      <c r="A19" s="4" t="inlineStr">
        <is>
          <t>Installer SaaS</t>
        </is>
      </c>
      <c r="B19" s="2" t="inlineStr">
        <is>
          <t>₹ lakh</t>
        </is>
      </c>
      <c r="C19" s="34">
        <f>C18*Assumptions!$C$47/100000</f>
        <v>0.44985</v>
      </c>
      <c r="D19" s="34">
        <f>D18*Assumptions!$C$47/100000</f>
        <v>0.5998</v>
      </c>
      <c r="E19" s="34">
        <f>E18*Assumptions!$C$47/100000</f>
        <v>0.74975</v>
      </c>
      <c r="F19" s="34">
        <f>F18*Assumptions!$C$47/100000</f>
        <v>0.8997</v>
      </c>
      <c r="G19" s="34">
        <f>G18*Assumptions!$C$47/100000</f>
        <v>1.04965</v>
      </c>
      <c r="H19" s="34">
        <f>H18*Assumptions!$C$47/100000</f>
        <v>5.217010416666667</v>
      </c>
      <c r="I19" s="34">
        <f>I18*Assumptions!$C$47/100000</f>
        <v>5.90428125</v>
      </c>
      <c r="J19" s="34">
        <f>J18*Assumptions!$C$47/100000</f>
        <v>6.591552083333334</v>
      </c>
      <c r="K19" s="34">
        <f>K18*Assumptions!$C$47/100000</f>
        <v>7.278822916666668</v>
      </c>
      <c r="L19" s="34">
        <f>L18*Assumptions!$C$47/100000</f>
        <v>7.96609375</v>
      </c>
      <c r="M19" s="34">
        <f>M18*Assumptions!$C$47/100000</f>
        <v>8.653364583333333</v>
      </c>
      <c r="N19" s="34">
        <f>N18*Assumptions!$C$47/100000</f>
        <v>9.340635416666666</v>
      </c>
      <c r="O19" s="34">
        <f>O18*Assumptions!$C$47/100000</f>
        <v>10.02790625</v>
      </c>
      <c r="P19" s="34">
        <f>P18*Assumptions!$C$47/100000</f>
        <v>10.715177083333336</v>
      </c>
      <c r="Q19" s="34">
        <f>Q18*Assumptions!$C$47/100000</f>
        <v>11.402447916666665</v>
      </c>
      <c r="R19" s="34">
        <f>R18*Assumptions!$C$47/100000</f>
        <v>12.08971875</v>
      </c>
      <c r="S19" s="34">
        <f>S18*Assumptions!$C$47/100000</f>
        <v>12.776989583333334</v>
      </c>
      <c r="T19" s="34">
        <f>T18*Assumptions!$C$47/100000</f>
        <v>18.74375</v>
      </c>
      <c r="U19" s="34">
        <f>U18*Assumptions!$C$47/100000</f>
        <v>20.24325</v>
      </c>
      <c r="V19" s="34">
        <f>V18*Assumptions!$C$47/100000</f>
        <v>21.74275</v>
      </c>
      <c r="W19" s="34">
        <f>W18*Assumptions!$C$47/100000</f>
        <v>23.24225</v>
      </c>
      <c r="X19" s="34">
        <f>X18*Assumptions!$C$47/100000</f>
        <v>24.74175</v>
      </c>
      <c r="Y19" s="34">
        <f>Y18*Assumptions!$C$47/100000</f>
        <v>26.24125</v>
      </c>
      <c r="Z19" s="34">
        <f>Z18*Assumptions!$C$47/100000</f>
        <v>27.74075</v>
      </c>
      <c r="AA19" s="34">
        <f>AA18*Assumptions!$C$47/100000</f>
        <v>29.24025</v>
      </c>
      <c r="AB19" s="34">
        <f>AB18*Assumptions!$C$47/100000</f>
        <v>30.73975</v>
      </c>
      <c r="AC19" s="34">
        <f>AC18*Assumptions!$C$47/100000</f>
        <v>32.23925</v>
      </c>
      <c r="AD19" s="34">
        <f>AD18*Assumptions!$C$47/100000</f>
        <v>33.73875</v>
      </c>
      <c r="AE19" s="34">
        <f>AE18*Assumptions!$C$47/100000</f>
        <v>35.23825</v>
      </c>
      <c r="AF19" s="34">
        <f>AF18*Assumptions!$C$47/100000</f>
        <v>38.362208333333335</v>
      </c>
      <c r="AG19" s="34">
        <f>AG18*Assumptions!$C$47/100000</f>
        <v>40.111625</v>
      </c>
      <c r="AH19" s="34">
        <f>AH18*Assumptions!$C$47/100000</f>
        <v>41.861041666666665</v>
      </c>
      <c r="AI19" s="34">
        <f>AI18*Assumptions!$C$47/100000</f>
        <v>43.61045833333334</v>
      </c>
      <c r="AJ19" s="34">
        <f>AJ18*Assumptions!$C$47/100000</f>
        <v>45.359875</v>
      </c>
      <c r="AK19" s="34">
        <f>AK18*Assumptions!$C$47/100000</f>
        <v>47.109291666666664</v>
      </c>
      <c r="AL19" s="34">
        <f>AL18*Assumptions!$C$47/100000</f>
        <v>48.85870833333334</v>
      </c>
      <c r="AM19" s="34">
        <f>AM18*Assumptions!$C$47/100000</f>
        <v>50.608125</v>
      </c>
      <c r="AN19" s="34">
        <f>AN18*Assumptions!$C$47/100000</f>
        <v>52.35754166666666</v>
      </c>
      <c r="AO19" s="34">
        <f>AO18*Assumptions!$C$47/100000</f>
        <v>54.10695833333334</v>
      </c>
      <c r="AP19" s="34">
        <f>AP18*Assumptions!$C$47/100000</f>
        <v>55.856375</v>
      </c>
      <c r="AQ19" s="34">
        <f>AQ18*Assumptions!$C$47/100000</f>
        <v>57.60579166666666</v>
      </c>
      <c r="AR19" s="34">
        <f>AR18*Assumptions!$C$47/100000</f>
        <v>62.604125</v>
      </c>
      <c r="AS19" s="34">
        <f>AS18*Assumptions!$C$47/100000</f>
        <v>64.853375</v>
      </c>
      <c r="AT19" s="34">
        <f>AT18*Assumptions!$C$47/100000</f>
        <v>67.102625</v>
      </c>
      <c r="AU19" s="34">
        <f>AU18*Assumptions!$C$47/100000</f>
        <v>69.351875</v>
      </c>
      <c r="AV19" s="34">
        <f>AV18*Assumptions!$C$47/100000</f>
        <v>71.601125</v>
      </c>
      <c r="AW19" s="34">
        <f>AW18*Assumptions!$C$47/100000</f>
        <v>73.850375</v>
      </c>
      <c r="AX19" s="34">
        <f>AX18*Assumptions!$C$47/100000</f>
        <v>76.099625</v>
      </c>
      <c r="AY19" s="34">
        <f>AY18*Assumptions!$C$47/100000</f>
        <v>78.348875</v>
      </c>
      <c r="AZ19" s="34">
        <f>AZ18*Assumptions!$C$47/100000</f>
        <v>80.598125</v>
      </c>
      <c r="BA19" s="34">
        <f>BA18*Assumptions!$C$47/100000</f>
        <v>82.847375</v>
      </c>
      <c r="BB19" s="34">
        <f>BB18*Assumptions!$C$47/100000</f>
        <v>85.096625</v>
      </c>
      <c r="BC19" s="34">
        <f>BC18*Assumptions!$C$47/100000</f>
        <v>87.345875</v>
      </c>
    </row>
    <row r="20">
      <c r="A20" s="4" t="inlineStr">
        <is>
          <t>State / DISCOM analytics</t>
        </is>
      </c>
      <c r="B20" s="2" t="inlineStr">
        <is>
          <t>₹ lakh</t>
        </is>
      </c>
      <c r="C20" s="34">
        <f>INDEX(Assumptions!$C$15:$G$15,1,C$4)*Assumptions!$C$48/12</f>
        <v>0.0</v>
      </c>
      <c r="D20" s="34">
        <f>INDEX(Assumptions!$C$15:$G$15,1,D$4)*Assumptions!$C$48/12</f>
        <v>0.0</v>
      </c>
      <c r="E20" s="34">
        <f>INDEX(Assumptions!$C$15:$G$15,1,E$4)*Assumptions!$C$48/12</f>
        <v>0.0</v>
      </c>
      <c r="F20" s="34">
        <f>INDEX(Assumptions!$C$15:$G$15,1,F$4)*Assumptions!$C$48/12</f>
        <v>0.0</v>
      </c>
      <c r="G20" s="34">
        <f>INDEX(Assumptions!$C$15:$G$15,1,G$4)*Assumptions!$C$48/12</f>
        <v>0.0</v>
      </c>
      <c r="H20" s="34">
        <f>INDEX(Assumptions!$C$15:$G$15,1,H$4)*Assumptions!$C$48/12</f>
        <v>3.3333333333333335</v>
      </c>
      <c r="I20" s="34">
        <f>INDEX(Assumptions!$C$15:$G$15,1,I$4)*Assumptions!$C$48/12</f>
        <v>3.3333333333333335</v>
      </c>
      <c r="J20" s="34">
        <f>INDEX(Assumptions!$C$15:$G$15,1,J$4)*Assumptions!$C$48/12</f>
        <v>3.3333333333333335</v>
      </c>
      <c r="K20" s="34">
        <f>INDEX(Assumptions!$C$15:$G$15,1,K$4)*Assumptions!$C$48/12</f>
        <v>3.3333333333333335</v>
      </c>
      <c r="L20" s="34">
        <f>INDEX(Assumptions!$C$15:$G$15,1,L$4)*Assumptions!$C$48/12</f>
        <v>3.3333333333333335</v>
      </c>
      <c r="M20" s="34">
        <f>INDEX(Assumptions!$C$15:$G$15,1,M$4)*Assumptions!$C$48/12</f>
        <v>3.3333333333333335</v>
      </c>
      <c r="N20" s="34">
        <f>INDEX(Assumptions!$C$15:$G$15,1,N$4)*Assumptions!$C$48/12</f>
        <v>3.3333333333333335</v>
      </c>
      <c r="O20" s="34">
        <f>INDEX(Assumptions!$C$15:$G$15,1,O$4)*Assumptions!$C$48/12</f>
        <v>3.3333333333333335</v>
      </c>
      <c r="P20" s="34">
        <f>INDEX(Assumptions!$C$15:$G$15,1,P$4)*Assumptions!$C$48/12</f>
        <v>3.3333333333333335</v>
      </c>
      <c r="Q20" s="34">
        <f>INDEX(Assumptions!$C$15:$G$15,1,Q$4)*Assumptions!$C$48/12</f>
        <v>3.3333333333333335</v>
      </c>
      <c r="R20" s="34">
        <f>INDEX(Assumptions!$C$15:$G$15,1,R$4)*Assumptions!$C$48/12</f>
        <v>3.3333333333333335</v>
      </c>
      <c r="S20" s="34">
        <f>INDEX(Assumptions!$C$15:$G$15,1,S$4)*Assumptions!$C$48/12</f>
        <v>3.3333333333333335</v>
      </c>
      <c r="T20" s="34">
        <f>INDEX(Assumptions!$C$15:$G$15,1,T$4)*Assumptions!$C$48/12</f>
        <v>10.0</v>
      </c>
      <c r="U20" s="34">
        <f>INDEX(Assumptions!$C$15:$G$15,1,U$4)*Assumptions!$C$48/12</f>
        <v>10.0</v>
      </c>
      <c r="V20" s="34">
        <f>INDEX(Assumptions!$C$15:$G$15,1,V$4)*Assumptions!$C$48/12</f>
        <v>10.0</v>
      </c>
      <c r="W20" s="34">
        <f>INDEX(Assumptions!$C$15:$G$15,1,W$4)*Assumptions!$C$48/12</f>
        <v>10.0</v>
      </c>
      <c r="X20" s="34">
        <f>INDEX(Assumptions!$C$15:$G$15,1,X$4)*Assumptions!$C$48/12</f>
        <v>10.0</v>
      </c>
      <c r="Y20" s="34">
        <f>INDEX(Assumptions!$C$15:$G$15,1,Y$4)*Assumptions!$C$48/12</f>
        <v>10.0</v>
      </c>
      <c r="Z20" s="34">
        <f>INDEX(Assumptions!$C$15:$G$15,1,Z$4)*Assumptions!$C$48/12</f>
        <v>10.0</v>
      </c>
      <c r="AA20" s="34">
        <f>INDEX(Assumptions!$C$15:$G$15,1,AA$4)*Assumptions!$C$48/12</f>
        <v>10.0</v>
      </c>
      <c r="AB20" s="34">
        <f>INDEX(Assumptions!$C$15:$G$15,1,AB$4)*Assumptions!$C$48/12</f>
        <v>10.0</v>
      </c>
      <c r="AC20" s="34">
        <f>INDEX(Assumptions!$C$15:$G$15,1,AC$4)*Assumptions!$C$48/12</f>
        <v>10.0</v>
      </c>
      <c r="AD20" s="34">
        <f>INDEX(Assumptions!$C$15:$G$15,1,AD$4)*Assumptions!$C$48/12</f>
        <v>10.0</v>
      </c>
      <c r="AE20" s="34">
        <f>INDEX(Assumptions!$C$15:$G$15,1,AE$4)*Assumptions!$C$48/12</f>
        <v>10.0</v>
      </c>
      <c r="AF20" s="34">
        <f>INDEX(Assumptions!$C$15:$G$15,1,AF$4)*Assumptions!$C$48/12</f>
        <v>20.0</v>
      </c>
      <c r="AG20" s="34">
        <f>INDEX(Assumptions!$C$15:$G$15,1,AG$4)*Assumptions!$C$48/12</f>
        <v>20.0</v>
      </c>
      <c r="AH20" s="34">
        <f>INDEX(Assumptions!$C$15:$G$15,1,AH$4)*Assumptions!$C$48/12</f>
        <v>20.0</v>
      </c>
      <c r="AI20" s="34">
        <f>INDEX(Assumptions!$C$15:$G$15,1,AI$4)*Assumptions!$C$48/12</f>
        <v>20.0</v>
      </c>
      <c r="AJ20" s="34">
        <f>INDEX(Assumptions!$C$15:$G$15,1,AJ$4)*Assumptions!$C$48/12</f>
        <v>20.0</v>
      </c>
      <c r="AK20" s="34">
        <f>INDEX(Assumptions!$C$15:$G$15,1,AK$4)*Assumptions!$C$48/12</f>
        <v>20.0</v>
      </c>
      <c r="AL20" s="34">
        <f>INDEX(Assumptions!$C$15:$G$15,1,AL$4)*Assumptions!$C$48/12</f>
        <v>20.0</v>
      </c>
      <c r="AM20" s="34">
        <f>INDEX(Assumptions!$C$15:$G$15,1,AM$4)*Assumptions!$C$48/12</f>
        <v>20.0</v>
      </c>
      <c r="AN20" s="34">
        <f>INDEX(Assumptions!$C$15:$G$15,1,AN$4)*Assumptions!$C$48/12</f>
        <v>20.0</v>
      </c>
      <c r="AO20" s="34">
        <f>INDEX(Assumptions!$C$15:$G$15,1,AO$4)*Assumptions!$C$48/12</f>
        <v>20.0</v>
      </c>
      <c r="AP20" s="34">
        <f>INDEX(Assumptions!$C$15:$G$15,1,AP$4)*Assumptions!$C$48/12</f>
        <v>20.0</v>
      </c>
      <c r="AQ20" s="34">
        <f>INDEX(Assumptions!$C$15:$G$15,1,AQ$4)*Assumptions!$C$48/12</f>
        <v>20.0</v>
      </c>
      <c r="AR20" s="34">
        <f>INDEX(Assumptions!$C$15:$G$15,1,AR$4)*Assumptions!$C$48/12</f>
        <v>33.333333333333336</v>
      </c>
      <c r="AS20" s="34">
        <f>INDEX(Assumptions!$C$15:$G$15,1,AS$4)*Assumptions!$C$48/12</f>
        <v>33.333333333333336</v>
      </c>
      <c r="AT20" s="34">
        <f>INDEX(Assumptions!$C$15:$G$15,1,AT$4)*Assumptions!$C$48/12</f>
        <v>33.333333333333336</v>
      </c>
      <c r="AU20" s="34">
        <f>INDEX(Assumptions!$C$15:$G$15,1,AU$4)*Assumptions!$C$48/12</f>
        <v>33.333333333333336</v>
      </c>
      <c r="AV20" s="34">
        <f>INDEX(Assumptions!$C$15:$G$15,1,AV$4)*Assumptions!$C$48/12</f>
        <v>33.333333333333336</v>
      </c>
      <c r="AW20" s="34">
        <f>INDEX(Assumptions!$C$15:$G$15,1,AW$4)*Assumptions!$C$48/12</f>
        <v>33.333333333333336</v>
      </c>
      <c r="AX20" s="34">
        <f>INDEX(Assumptions!$C$15:$G$15,1,AX$4)*Assumptions!$C$48/12</f>
        <v>33.333333333333336</v>
      </c>
      <c r="AY20" s="34">
        <f>INDEX(Assumptions!$C$15:$G$15,1,AY$4)*Assumptions!$C$48/12</f>
        <v>33.333333333333336</v>
      </c>
      <c r="AZ20" s="34">
        <f>INDEX(Assumptions!$C$15:$G$15,1,AZ$4)*Assumptions!$C$48/12</f>
        <v>33.333333333333336</v>
      </c>
      <c r="BA20" s="34">
        <f>INDEX(Assumptions!$C$15:$G$15,1,BA$4)*Assumptions!$C$48/12</f>
        <v>33.333333333333336</v>
      </c>
      <c r="BB20" s="34">
        <f>INDEX(Assumptions!$C$15:$G$15,1,BB$4)*Assumptions!$C$48/12</f>
        <v>33.333333333333336</v>
      </c>
      <c r="BC20" s="34">
        <f>INDEX(Assumptions!$C$15:$G$15,1,BC$4)*Assumptions!$C$48/12</f>
        <v>33.333333333333336</v>
      </c>
    </row>
    <row r="21">
      <c r="A21" s="3" t="inlineStr">
        <is>
          <t>Total revenue</t>
        </is>
      </c>
      <c r="B21" s="2" t="inlineStr">
        <is>
          <t>₹ lakh</t>
        </is>
      </c>
      <c r="C21" s="35">
        <f>C15+C16+C17+C19+C20</f>
        <v>4.09785</v>
      </c>
      <c r="D21" s="35">
        <f>D15+D16+D17+D19+D20</f>
        <v>6.983800000000001</v>
      </c>
      <c r="E21" s="35">
        <f>E15+E16+E17+E19+E20</f>
        <v>11.7719324</v>
      </c>
      <c r="F21" s="35">
        <f>F15+F16+F17+F19+F20</f>
        <v>16.084519200000003</v>
      </c>
      <c r="G21" s="35">
        <f>G15+G16+G17+G19+G20</f>
        <v>20.397106</v>
      </c>
      <c r="H21" s="35">
        <f>H15+H16+H17+H19+H20</f>
        <v>31.28755725682645</v>
      </c>
      <c r="I21" s="35">
        <f>I15+I16+I17+I19+I20</f>
        <v>35.72324218061994</v>
      </c>
      <c r="J21" s="35">
        <f>J15+J16+J17+J19+J20</f>
        <v>40.13803531087171</v>
      </c>
      <c r="K21" s="35">
        <f>K15+K16+K17+K19+K20</f>
        <v>45.07743079094455</v>
      </c>
      <c r="L21" s="35">
        <f>L15+L16+L17+L19+L20</f>
        <v>50.61525986945767</v>
      </c>
      <c r="M21" s="35">
        <f>M15+M16+M17+M19+M20</f>
        <v>56.835744623959776</v>
      </c>
      <c r="N21" s="35">
        <f>N15+N16+N17+N19+N20</f>
        <v>63.83496034071714</v>
      </c>
      <c r="O21" s="35">
        <f>O15+O16+O17+O19+O20</f>
        <v>71.72250370625163</v>
      </c>
      <c r="P21" s="35">
        <f>P15+P16+P17+P19+P20</f>
        <v>80.62339577606299</v>
      </c>
      <c r="Q21" s="35">
        <f>Q15+Q16+Q17+Q19+Q20</f>
        <v>90.68025276250512</v>
      </c>
      <c r="R21" s="35">
        <f>R15+R16+R17+R19+R20</f>
        <v>102.05576233402688</v>
      </c>
      <c r="S21" s="35">
        <f>S15+S16+S17+S19+S20</f>
        <v>114.93550842269494</v>
      </c>
      <c r="T21" s="35">
        <f>T15+T16+T17+T19+T20</f>
        <v>136.08186879337282</v>
      </c>
      <c r="U21" s="35">
        <f>U15+U16+U17+U19+U20</f>
        <v>147.4158257625208</v>
      </c>
      <c r="V21" s="35">
        <f>V15+V16+V17+V19+V20</f>
        <v>157.26712368345702</v>
      </c>
      <c r="W21" s="35">
        <f>W15+W16+W17+W19+W20</f>
        <v>167.71371899423144</v>
      </c>
      <c r="X21" s="35">
        <f>X15+X16+X17+X19+X20</f>
        <v>178.79804315519678</v>
      </c>
      <c r="Y21" s="35">
        <f>Y15+Y16+Y17+Y19+Y20</f>
        <v>190.56555204585737</v>
      </c>
      <c r="Z21" s="35">
        <f>Z15+Z16+Z17+Z19+Z20</f>
        <v>203.06494153867402</v>
      </c>
      <c r="AA21" s="35">
        <f>AA15+AA16+AA17+AA19+AA20</f>
        <v>216.34837843847825</v>
      </c>
      <c r="AB21" s="35">
        <f>AB15+AB16+AB17+AB19+AB20</f>
        <v>230.47174788273327</v>
      </c>
      <c r="AC21" s="35">
        <f>AC15+AC16+AC17+AC19+AC20</f>
        <v>245.4949183759344</v>
      </c>
      <c r="AD21" s="35">
        <f>AD15+AD16+AD17+AD19+AD20</f>
        <v>261.4820257150526</v>
      </c>
      <c r="AE21" s="35">
        <f>AE15+AE16+AE17+AE19+AE20</f>
        <v>278.5017771525598</v>
      </c>
      <c r="AF21" s="35">
        <f>AF15+AF16+AF17+AF19+AF20</f>
        <v>304.902177268279</v>
      </c>
      <c r="AG21" s="35">
        <f>AG15+AG16+AG17+AG19+AG20</f>
        <v>321.9012666649965</v>
      </c>
      <c r="AH21" s="35">
        <f>AH15+AH16+AH17+AH19+AH20</f>
        <v>338.7582936861137</v>
      </c>
      <c r="AI21" s="35">
        <f>AI15+AI16+AI17+AI19+AI20</f>
        <v>356.48716532709784</v>
      </c>
      <c r="AJ21" s="35">
        <f>AJ15+AJ16+AJ17+AJ19+AJ20</f>
        <v>375.1381948422172</v>
      </c>
      <c r="AK21" s="35">
        <f>AK15+AK16+AK17+AK19+AK20</f>
        <v>394.7645990117802</v>
      </c>
      <c r="AL21" s="35">
        <f>AL15+AL16+AL17+AL19+AL20</f>
        <v>415.42266570163326</v>
      </c>
      <c r="AM21" s="35">
        <f>AM15+AM16+AM17+AM19+AM20</f>
        <v>437.17193109232596</v>
      </c>
      <c r="AN21" s="35">
        <f>AN15+AN16+AN17+AN19+AN20</f>
        <v>460.07536713602394</v>
      </c>
      <c r="AO21" s="35">
        <f>AO15+AO16+AO17+AO19+AO20</f>
        <v>484.19957983133605</v>
      </c>
      <c r="AP21" s="35">
        <f>AP15+AP16+AP17+AP19+AP20</f>
        <v>509.61501894038673</v>
      </c>
      <c r="AQ21" s="35">
        <f>AQ15+AQ16+AQ17+AQ19+AQ20</f>
        <v>536.3961998084529</v>
      </c>
      <c r="AR21" s="35">
        <f>AR15+AR16+AR17+AR19+AR20</f>
        <v>569.2968536636794</v>
      </c>
      <c r="AS21" s="35">
        <f>AS15+AS16+AS17+AS19+AS20</f>
        <v>588.9832057196787</v>
      </c>
      <c r="AT21" s="35">
        <f>AT15+AT16+AT17+AT19+AT20</f>
        <v>604.684428768761</v>
      </c>
      <c r="AU21" s="35">
        <f>AU15+AU16+AU17+AU19+AU20</f>
        <v>620.7543495976264</v>
      </c>
      <c r="AV21" s="35">
        <f>AV15+AV16+AV17+AV19+AV20</f>
        <v>637.2030736422881</v>
      </c>
      <c r="AW21" s="35">
        <f>AW15+AW16+AW17+AW19+AW20</f>
        <v>654.0409833131243</v>
      </c>
      <c r="AX21" s="35">
        <f>AX15+AX16+AX17+AX19+AX20</f>
        <v>671.2787455863314</v>
      </c>
      <c r="AY21" s="35">
        <f>AY15+AY16+AY17+AY19+AY20</f>
        <v>688.9273198034274</v>
      </c>
      <c r="AZ21" s="35">
        <f>AZ15+AZ16+AZ17+AZ19+AZ20</f>
        <v>706.9979656845335</v>
      </c>
      <c r="BA21" s="35">
        <f>BA15+BA16+BA17+BA19+BA20</f>
        <v>725.502251561286</v>
      </c>
      <c r="BB21" s="35">
        <f>BB15+BB16+BB17+BB19+BB20</f>
        <v>744.4520628354128</v>
      </c>
      <c r="BC21" s="35">
        <f>BC15+BC16+BC17+BC19+BC20</f>
        <v>763.8596106691125</v>
      </c>
    </row>
    <row r="22">
      <c r="A22" s="13" t="inlineStr">
        <is>
          <t>Variable costs</t>
        </is>
      </c>
      <c r="B22" s="14" t="n"/>
    </row>
    <row r="23">
      <c r="A23" s="4" t="inlineStr">
        <is>
          <t>Customer acquisition</t>
        </is>
      </c>
      <c r="B23" s="2" t="inlineStr">
        <is>
          <t>₹ lakh</t>
        </is>
      </c>
      <c r="C23" s="34">
        <f>C10*INDEX(Assumptions!$C$13:$G$13,1,C$4)/100000</f>
        <v>3.2</v>
      </c>
      <c r="D23" s="34">
        <f>D10*INDEX(Assumptions!$C$13:$G$13,1,D$4)/100000</f>
        <v>5.600000000000001</v>
      </c>
      <c r="E23" s="34">
        <f>E10*INDEX(Assumptions!$C$13:$G$13,1,E$4)/100000</f>
        <v>8.0</v>
      </c>
      <c r="F23" s="34">
        <f>F10*INDEX(Assumptions!$C$13:$G$13,1,F$4)/100000</f>
        <v>10.4</v>
      </c>
      <c r="G23" s="34">
        <f>G10*INDEX(Assumptions!$C$13:$G$13,1,G$4)/100000</f>
        <v>12.8</v>
      </c>
      <c r="H23" s="34">
        <f>H10*INDEX(Assumptions!$C$13:$G$13,1,H$4)/100000</f>
        <v>12.411224527019721</v>
      </c>
      <c r="I23" s="34">
        <f>I10*INDEX(Assumptions!$C$13:$G$13,1,I$4)/100000</f>
        <v>14.157949840082118</v>
      </c>
      <c r="J23" s="34">
        <f>J10*INDEX(Assumptions!$C$13:$G$13,1,J$4)/100000</f>
        <v>16.15050499150182</v>
      </c>
      <c r="K23" s="34">
        <f>K10*INDEX(Assumptions!$C$13:$G$13,1,K$4)/100000</f>
        <v>18.423487470062497</v>
      </c>
      <c r="L23" s="34">
        <f>L10*INDEX(Assumptions!$C$13:$G$13,1,L$4)/100000</f>
        <v>21.01636393030114</v>
      </c>
      <c r="M23" s="34">
        <f>M10*INDEX(Assumptions!$C$13:$G$13,1,M$4)/100000</f>
        <v>23.974155466959978</v>
      </c>
      <c r="N23" s="34">
        <f>N10*INDEX(Assumptions!$C$13:$G$13,1,N$4)/100000</f>
        <v>27.34821933328258</v>
      </c>
      <c r="O23" s="34">
        <f>O10*INDEX(Assumptions!$C$13:$G$13,1,O$4)/100000</f>
        <v>31.197140676428965</v>
      </c>
      <c r="P23" s="34">
        <f>P10*INDEX(Assumptions!$C$13:$G$13,1,P$4)/100000</f>
        <v>35.58774977354556</v>
      </c>
      <c r="Q23" s="34">
        <f>Q10*INDEX(Assumptions!$C$13:$G$13,1,Q$4)/100000</f>
        <v>40.596282431145596</v>
      </c>
      <c r="R23" s="34">
        <f>R10*INDEX(Assumptions!$C$13:$G$13,1,R$4)/100000</f>
        <v>46.30970369625457</v>
      </c>
      <c r="S23" s="34">
        <f>S10*INDEX(Assumptions!$C$13:$G$13,1,S$4)/100000</f>
        <v>52.827217863415775</v>
      </c>
      <c r="T23" s="34">
        <f>T10*INDEX(Assumptions!$C$13:$G$13,1,T$4)/100000</f>
        <v>49.93466757642359</v>
      </c>
      <c r="U23" s="34">
        <f>U10*INDEX(Assumptions!$C$13:$G$13,1,U$4)/100000</f>
        <v>53.4938984812098</v>
      </c>
      <c r="V23" s="34">
        <f>V10*INDEX(Assumptions!$C$13:$G$13,1,V$4)/100000</f>
        <v>57.3068233675215</v>
      </c>
      <c r="W23" s="34">
        <f>W10*INDEX(Assumptions!$C$13:$G$13,1,W$4)/100000</f>
        <v>61.39152497232631</v>
      </c>
      <c r="X23" s="34">
        <f>X10*INDEX(Assumptions!$C$13:$G$13,1,X$4)/100000</f>
        <v>65.7673749294534</v>
      </c>
      <c r="Y23" s="34">
        <f>Y10*INDEX(Assumptions!$C$13:$G$13,1,Y$4)/100000</f>
        <v>70.45512563926441</v>
      </c>
      <c r="Z23" s="34">
        <f>Z10*INDEX(Assumptions!$C$13:$G$13,1,Z$4)/100000</f>
        <v>75.47700868658998</v>
      </c>
      <c r="AA23" s="34">
        <f>AA10*INDEX(Assumptions!$C$13:$G$13,1,AA$4)/100000</f>
        <v>80.85684027367348</v>
      </c>
      <c r="AB23" s="34">
        <f>AB10*INDEX(Assumptions!$C$13:$G$13,1,AB$4)/100000</f>
        <v>86.62013416813951</v>
      </c>
      <c r="AC23" s="34">
        <f>AC10*INDEX(Assumptions!$C$13:$G$13,1,AC$4)/100000</f>
        <v>92.7942227016444</v>
      </c>
      <c r="AD23" s="34">
        <f>AD10*INDEX(Assumptions!$C$13:$G$13,1,AD$4)/100000</f>
        <v>99.40838639302889</v>
      </c>
      <c r="AE23" s="34">
        <f>AE10*INDEX(Assumptions!$C$13:$G$13,1,AE$4)/100000</f>
        <v>106.49399281072469</v>
      </c>
      <c r="AF23" s="34">
        <f>AF10*INDEX(Assumptions!$C$13:$G$13,1,AF$4)/100000</f>
        <v>97.62103117556725</v>
      </c>
      <c r="AG23" s="34">
        <f>AG10*INDEX(Assumptions!$C$13:$G$13,1,AG$4)/100000</f>
        <v>103.25464025200188</v>
      </c>
      <c r="AH23" s="34">
        <f>AH10*INDEX(Assumptions!$C$13:$G$13,1,AH$4)/100000</f>
        <v>109.2133591008265</v>
      </c>
      <c r="AI23" s="34">
        <f>AI10*INDEX(Assumptions!$C$13:$G$13,1,AI$4)/100000</f>
        <v>115.51594947186776</v>
      </c>
      <c r="AJ23" s="34">
        <f>AJ10*INDEX(Assumptions!$C$13:$G$13,1,AJ$4)/100000</f>
        <v>122.1822558361925</v>
      </c>
      <c r="AK23" s="34">
        <f>AK10*INDEX(Assumptions!$C$13:$G$13,1,AK$4)/100000</f>
        <v>129.233267868835</v>
      </c>
      <c r="AL23" s="34">
        <f>AL10*INDEX(Assumptions!$C$13:$G$13,1,AL$4)/100000</f>
        <v>136.6911865373421</v>
      </c>
      <c r="AM23" s="34">
        <f>AM10*INDEX(Assumptions!$C$13:$G$13,1,AM$4)/100000</f>
        <v>144.57949400420665</v>
      </c>
      <c r="AN23" s="34">
        <f>AN10*INDEX(Assumptions!$C$13:$G$13,1,AN$4)/100000</f>
        <v>152.92302756331574</v>
      </c>
      <c r="AO23" s="34">
        <f>AO10*INDEX(Assumptions!$C$13:$G$13,1,AO$4)/100000</f>
        <v>161.74805784318514</v>
      </c>
      <c r="AP23" s="34">
        <f>AP10*INDEX(Assumptions!$C$13:$G$13,1,AP$4)/100000</f>
        <v>171.08237152321738</v>
      </c>
      <c r="AQ23" s="34">
        <f>AQ10*INDEX(Assumptions!$C$13:$G$13,1,AQ$4)/100000</f>
        <v>180.9553588234405</v>
      </c>
      <c r="AR23" s="34">
        <f>AR10*INDEX(Assumptions!$C$13:$G$13,1,AR$4)/100000</f>
        <v>171.61390651205522</v>
      </c>
      <c r="AS23" s="34">
        <f>AS10*INDEX(Assumptions!$C$13:$G$13,1,AS$4)/100000</f>
        <v>176.31757831399682</v>
      </c>
      <c r="AT23" s="34">
        <f>AT10*INDEX(Assumptions!$C$13:$G$13,1,AT$4)/100000</f>
        <v>181.15017048649676</v>
      </c>
      <c r="AU23" s="34">
        <f>AU10*INDEX(Assumptions!$C$13:$G$13,1,AU$4)/100000</f>
        <v>186.11521653755278</v>
      </c>
      <c r="AV23" s="34">
        <f>AV10*INDEX(Assumptions!$C$13:$G$13,1,AV$4)/100000</f>
        <v>191.21634682315917</v>
      </c>
      <c r="AW23" s="34">
        <f>AW10*INDEX(Assumptions!$C$13:$G$13,1,AW$4)/100000</f>
        <v>196.45729120175042</v>
      </c>
      <c r="AX23" s="34">
        <f>AX10*INDEX(Assumptions!$C$13:$G$13,1,AX$4)/100000</f>
        <v>201.84188176141203</v>
      </c>
      <c r="AY23" s="34">
        <f>AY10*INDEX(Assumptions!$C$13:$G$13,1,AY$4)/100000</f>
        <v>207.37405562184003</v>
      </c>
      <c r="AZ23" s="34">
        <f>AZ10*INDEX(Assumptions!$C$13:$G$13,1,AZ$4)/100000</f>
        <v>213.05785781309277</v>
      </c>
      <c r="BA23" s="34">
        <f>BA10*INDEX(Assumptions!$C$13:$G$13,1,BA$4)/100000</f>
        <v>218.89744423324564</v>
      </c>
      <c r="BB23" s="34">
        <f>BB10*INDEX(Assumptions!$C$13:$G$13,1,BB$4)/100000</f>
        <v>224.89708468711925</v>
      </c>
      <c r="BC23" s="34">
        <f>BC10*INDEX(Assumptions!$C$13:$G$13,1,BC$4)/100000</f>
        <v>231.06116600827679</v>
      </c>
    </row>
    <row r="24">
      <c r="A24" s="4" t="inlineStr">
        <is>
          <t>AI + infrastructure</t>
        </is>
      </c>
      <c r="B24" s="2" t="inlineStr">
        <is>
          <t>₹ lakh</t>
        </is>
      </c>
      <c r="C24" s="34">
        <f>C10*INDEX(Assumptions!$C$70:$G$70,1,C$4)/100000</f>
        <v>0.155565</v>
      </c>
      <c r="D24" s="34">
        <f>D10*INDEX(Assumptions!$C$70:$G$70,1,D$4)/100000</f>
        <v>0.27223875000000003</v>
      </c>
      <c r="E24" s="34">
        <f>E10*INDEX(Assumptions!$C$70:$G$70,1,E$4)/100000</f>
        <v>0.3889125</v>
      </c>
      <c r="F24" s="34">
        <f>F10*INDEX(Assumptions!$C$70:$G$70,1,F$4)/100000</f>
        <v>0.50558625</v>
      </c>
      <c r="G24" s="34">
        <f>G10*INDEX(Assumptions!$C$70:$G$70,1,G$4)/100000</f>
        <v>0.62226</v>
      </c>
      <c r="H24" s="34">
        <f>H10*INDEX(Assumptions!$C$70:$G$70,1,H$4)/100000</f>
        <v>0.25295581359630126</v>
      </c>
      <c r="I24" s="34">
        <f>I10*INDEX(Assumptions!$C$70:$G$70,1,I$4)/100000</f>
        <v>0.2885561946653119</v>
      </c>
      <c r="J24" s="34">
        <f>J10*INDEX(Assumptions!$C$70:$G$70,1,J$4)/100000</f>
        <v>0.3291668860894805</v>
      </c>
      <c r="K24" s="34">
        <f>K10*INDEX(Assumptions!$C$70:$G$70,1,K$4)/100000</f>
        <v>0.3754930266651131</v>
      </c>
      <c r="L24" s="34">
        <f>L10*INDEX(Assumptions!$C$70:$G$70,1,L$4)/100000</f>
        <v>0.42833899469401143</v>
      </c>
      <c r="M24" s="34">
        <f>M10*INDEX(Assumptions!$C$70:$G$70,1,M$4)/100000</f>
        <v>0.4886223747082035</v>
      </c>
      <c r="N24" s="34">
        <f>N10*INDEX(Assumptions!$C$70:$G$70,1,N$4)/100000</f>
        <v>0.5573898898372254</v>
      </c>
      <c r="O24" s="34">
        <f>O10*INDEX(Assumptions!$C$70:$G$70,1,O$4)/100000</f>
        <v>0.6358355764577663</v>
      </c>
      <c r="P24" s="34">
        <f>P10*INDEX(Assumptions!$C$70:$G$70,1,P$4)/100000</f>
        <v>0.7253215166989219</v>
      </c>
      <c r="Q24" s="34">
        <f>Q10*INDEX(Assumptions!$C$70:$G$70,1,Q$4)/100000</f>
        <v>0.8274014887894027</v>
      </c>
      <c r="R24" s="34">
        <f>R10*INDEX(Assumptions!$C$70:$G$70,1,R$4)/100000</f>
        <v>0.9438479458966527</v>
      </c>
      <c r="S24" s="34">
        <f>S10*INDEX(Assumptions!$C$70:$G$70,1,S$4)/100000</f>
        <v>1.0766827919016153</v>
      </c>
      <c r="T24" s="34">
        <f>T10*INDEX(Assumptions!$C$70:$G$70,1,T$4)/100000</f>
        <v>1.1534263220697654</v>
      </c>
      <c r="U24" s="34">
        <f>U10*INDEX(Assumptions!$C$70:$G$70,1,U$4)/100000</f>
        <v>1.2356399586304079</v>
      </c>
      <c r="V24" s="34">
        <f>V10*INDEX(Assumptions!$C$70:$G$70,1,V$4)/100000</f>
        <v>1.32371359847623</v>
      </c>
      <c r="W24" s="34">
        <f>W10*INDEX(Assumptions!$C$70:$G$70,1,W$4)/100000</f>
        <v>1.4180649294743148</v>
      </c>
      <c r="X24" s="34">
        <f>X10*INDEX(Assumptions!$C$70:$G$70,1,X$4)/100000</f>
        <v>1.5191414113444226</v>
      </c>
      <c r="Y24" s="34">
        <f>Y10*INDEX(Assumptions!$C$70:$G$70,1,Y$4)/100000</f>
        <v>1.6274223977297235</v>
      </c>
      <c r="Z24" s="34">
        <f>Z10*INDEX(Assumptions!$C$70:$G$70,1,Z$4)/100000</f>
        <v>1.7434214095240084</v>
      </c>
      <c r="AA24" s="34">
        <f>AA10*INDEX(Assumptions!$C$70:$G$70,1,AA$4)/100000</f>
        <v>1.867688570236504</v>
      </c>
      <c r="AB24" s="34">
        <f>AB10*INDEX(Assumptions!$C$70:$G$70,1,AB$4)/100000</f>
        <v>2.000813214944055</v>
      </c>
      <c r="AC24" s="34">
        <f>AC10*INDEX(Assumptions!$C$70:$G$70,1,AC$4)/100000</f>
        <v>2.1434266852036625</v>
      </c>
      <c r="AD24" s="34">
        <f>AD10*INDEX(Assumptions!$C$70:$G$70,1,AD$4)/100000</f>
        <v>2.2962053231798762</v>
      </c>
      <c r="AE24" s="34">
        <f>AE10*INDEX(Assumptions!$C$70:$G$70,1,AE$4)/100000</f>
        <v>2.459873679187026</v>
      </c>
      <c r="AF24" s="34">
        <f>AF10*INDEX(Assumptions!$C$70:$G$70,1,AF$4)/100000</f>
        <v>2.601830453450386</v>
      </c>
      <c r="AG24" s="34">
        <f>AG10*INDEX(Assumptions!$C$70:$G$70,1,AG$4)/100000</f>
        <v>2.7519794068202894</v>
      </c>
      <c r="AH24" s="34">
        <f>AH10*INDEX(Assumptions!$C$70:$G$70,1,AH$4)/100000</f>
        <v>2.9107933015079843</v>
      </c>
      <c r="AI24" s="34">
        <f>AI10*INDEX(Assumptions!$C$70:$G$70,1,AI$4)/100000</f>
        <v>3.0787721823447045</v>
      </c>
      <c r="AJ24" s="34">
        <f>AJ10*INDEX(Assumptions!$C$70:$G$70,1,AJ$4)/100000</f>
        <v>3.256444951233375</v>
      </c>
      <c r="AK24" s="34">
        <f>AK10*INDEX(Assumptions!$C$70:$G$70,1,AK$4)/100000</f>
        <v>3.4443710324604897</v>
      </c>
      <c r="AL24" s="34">
        <f>AL10*INDEX(Assumptions!$C$70:$G$70,1,AL$4)/100000</f>
        <v>3.6431421341115287</v>
      </c>
      <c r="AM24" s="34">
        <f>AM10*INDEX(Assumptions!$C$70:$G$70,1,AM$4)/100000</f>
        <v>3.8533841111354823</v>
      </c>
      <c r="AN24" s="34">
        <f>AN10*INDEX(Assumptions!$C$70:$G$70,1,AN$4)/100000</f>
        <v>4.075758935925374</v>
      </c>
      <c r="AO24" s="34">
        <f>AO10*INDEX(Assumptions!$C$70:$G$70,1,AO$4)/100000</f>
        <v>4.310966782618687</v>
      </c>
      <c r="AP24" s="34">
        <f>AP10*INDEX(Assumptions!$C$70:$G$70,1,AP$4)/100000</f>
        <v>4.559748231680504</v>
      </c>
      <c r="AQ24" s="34">
        <f>AQ10*INDEX(Assumptions!$C$70:$G$70,1,AQ$4)/100000</f>
        <v>4.822886601711147</v>
      </c>
      <c r="AR24" s="34">
        <f>AR10*INDEX(Assumptions!$C$70:$G$70,1,AR$4)/100000</f>
        <v>4.955074465582371</v>
      </c>
      <c r="AS24" s="34">
        <f>AS10*INDEX(Assumptions!$C$70:$G$70,1,AS$4)/100000</f>
        <v>5.0908853943933385</v>
      </c>
      <c r="AT24" s="34">
        <f>AT10*INDEX(Assumptions!$C$70:$G$70,1,AT$4)/100000</f>
        <v>5.230418690751496</v>
      </c>
      <c r="AU24" s="34">
        <f>AU10*INDEX(Assumptions!$C$70:$G$70,1,AU$4)/100000</f>
        <v>5.373776378995135</v>
      </c>
      <c r="AV24" s="34">
        <f>AV10*INDEX(Assumptions!$C$70:$G$70,1,AV$4)/100000</f>
        <v>5.521063279792078</v>
      </c>
      <c r="AW24" s="34">
        <f>AW10*INDEX(Assumptions!$C$70:$G$70,1,AW$4)/100000</f>
        <v>5.6723870867824555</v>
      </c>
      <c r="AX24" s="34">
        <f>AX10*INDEX(Assumptions!$C$70:$G$70,1,AX$4)/100000</f>
        <v>5.827858445322511</v>
      </c>
      <c r="AY24" s="34">
        <f>AY10*INDEX(Assumptions!$C$70:$G$70,1,AY$4)/100000</f>
        <v>5.987591033386657</v>
      </c>
      <c r="AZ24" s="34">
        <f>AZ10*INDEX(Assumptions!$C$70:$G$70,1,AZ$4)/100000</f>
        <v>6.151701644686792</v>
      </c>
      <c r="BA24" s="34">
        <f>BA10*INDEX(Assumptions!$C$70:$G$70,1,BA$4)/100000</f>
        <v>6.320310274069798</v>
      </c>
      <c r="BB24" s="34">
        <f>BB10*INDEX(Assumptions!$C$70:$G$70,1,BB$4)/100000</f>
        <v>6.493540205255916</v>
      </c>
      <c r="BC24" s="34">
        <f>BC10*INDEX(Assumptions!$C$70:$G$70,1,BC$4)/100000</f>
        <v>6.671518100981375</v>
      </c>
    </row>
    <row r="25">
      <c r="A25" s="4" t="inlineStr">
        <is>
          <t>Payments + partner ops</t>
        </is>
      </c>
      <c r="B25" s="2" t="inlineStr">
        <is>
          <t>₹ lakh</t>
        </is>
      </c>
      <c r="C25" s="34">
        <f>C21*Assumptions!$C$73</f>
        <v>0.1229355</v>
      </c>
      <c r="D25" s="34">
        <f>D21*Assumptions!$C$73</f>
        <v>0.20951400000000003</v>
      </c>
      <c r="E25" s="34">
        <f>E21*Assumptions!$C$73</f>
        <v>0.353157972</v>
      </c>
      <c r="F25" s="34">
        <f>F21*Assumptions!$C$73</f>
        <v>0.4825355760000001</v>
      </c>
      <c r="G25" s="34">
        <f>G21*Assumptions!$C$73</f>
        <v>0.6119131800000001</v>
      </c>
      <c r="H25" s="34">
        <f>H21*Assumptions!$C$73</f>
        <v>0.9386267177047934</v>
      </c>
      <c r="I25" s="34">
        <f>I21*Assumptions!$C$73</f>
        <v>1.071697265418598</v>
      </c>
      <c r="J25" s="34">
        <f>J21*Assumptions!$C$73</f>
        <v>1.2041410593261512</v>
      </c>
      <c r="K25" s="34">
        <f>K21*Assumptions!$C$73</f>
        <v>1.3523229237283363</v>
      </c>
      <c r="L25" s="34">
        <f>L21*Assumptions!$C$73</f>
        <v>1.51845779608373</v>
      </c>
      <c r="M25" s="34">
        <f>M21*Assumptions!$C$73</f>
        <v>1.7050723387187932</v>
      </c>
      <c r="N25" s="34">
        <f>N21*Assumptions!$C$73</f>
        <v>1.9150488102215142</v>
      </c>
      <c r="O25" s="34">
        <f>O21*Assumptions!$C$73</f>
        <v>2.151675111187549</v>
      </c>
      <c r="P25" s="34">
        <f>P21*Assumptions!$C$73</f>
        <v>2.4187018732818895</v>
      </c>
      <c r="Q25" s="34">
        <f>Q21*Assumptions!$C$73</f>
        <v>2.7204075828751533</v>
      </c>
      <c r="R25" s="34">
        <f>R21*Assumptions!$C$73</f>
        <v>3.0616728700208062</v>
      </c>
      <c r="S25" s="34">
        <f>S21*Assumptions!$C$73</f>
        <v>3.448065252680848</v>
      </c>
      <c r="T25" s="34">
        <f>T21*Assumptions!$C$73</f>
        <v>4.082456063801184</v>
      </c>
      <c r="U25" s="34">
        <f>U21*Assumptions!$C$73</f>
        <v>4.422474772875623</v>
      </c>
      <c r="V25" s="34">
        <f>V21*Assumptions!$C$73</f>
        <v>4.71801371050371</v>
      </c>
      <c r="W25" s="34">
        <f>W21*Assumptions!$C$73</f>
        <v>5.031411569826943</v>
      </c>
      <c r="X25" s="34">
        <f>X21*Assumptions!$C$73</f>
        <v>5.363941294655903</v>
      </c>
      <c r="Y25" s="34">
        <f>Y21*Assumptions!$C$73</f>
        <v>5.716966561375721</v>
      </c>
      <c r="Z25" s="34">
        <f>Z21*Assumptions!$C$73</f>
        <v>6.091948246160221</v>
      </c>
      <c r="AA25" s="34">
        <f>AA21*Assumptions!$C$73</f>
        <v>6.490451353154347</v>
      </c>
      <c r="AB25" s="34">
        <f>AB21*Assumptions!$C$73</f>
        <v>6.914152436481998</v>
      </c>
      <c r="AC25" s="34">
        <f>AC21*Assumptions!$C$73</f>
        <v>7.364847551278031</v>
      </c>
      <c r="AD25" s="34">
        <f>AD21*Assumptions!$C$73</f>
        <v>7.844460771451578</v>
      </c>
      <c r="AE25" s="34">
        <f>AE21*Assumptions!$C$73</f>
        <v>8.355053314576793</v>
      </c>
      <c r="AF25" s="34">
        <f>AF21*Assumptions!$C$73</f>
        <v>9.14706531804837</v>
      </c>
      <c r="AG25" s="34">
        <f>AG21*Assumptions!$C$73</f>
        <v>9.657037999949894</v>
      </c>
      <c r="AH25" s="34">
        <f>AH21*Assumptions!$C$73</f>
        <v>10.16274881058341</v>
      </c>
      <c r="AI25" s="34">
        <f>AI21*Assumptions!$C$73</f>
        <v>10.694614959812935</v>
      </c>
      <c r="AJ25" s="34">
        <f>AJ21*Assumptions!$C$73</f>
        <v>11.254145845266516</v>
      </c>
      <c r="AK25" s="34">
        <f>AK21*Assumptions!$C$73</f>
        <v>11.842937970353406</v>
      </c>
      <c r="AL25" s="34">
        <f>AL21*Assumptions!$C$73</f>
        <v>12.462679971048997</v>
      </c>
      <c r="AM25" s="34">
        <f>AM21*Assumptions!$C$73</f>
        <v>13.115157932769778</v>
      </c>
      <c r="AN25" s="34">
        <f>AN21*Assumptions!$C$73</f>
        <v>13.802261014080718</v>
      </c>
      <c r="AO25" s="34">
        <f>AO21*Assumptions!$C$73</f>
        <v>14.525987394940081</v>
      </c>
      <c r="AP25" s="34">
        <f>AP21*Assumptions!$C$73</f>
        <v>15.288450568211601</v>
      </c>
      <c r="AQ25" s="34">
        <f>AQ21*Assumptions!$C$73</f>
        <v>16.091885994253587</v>
      </c>
      <c r="AR25" s="34">
        <f>AR21*Assumptions!$C$73</f>
        <v>17.07890560991038</v>
      </c>
      <c r="AS25" s="34">
        <f>AS21*Assumptions!$C$73</f>
        <v>17.66949617159036</v>
      </c>
      <c r="AT25" s="34">
        <f>AT21*Assumptions!$C$73</f>
        <v>18.14053286306283</v>
      </c>
      <c r="AU25" s="34">
        <f>AU21*Assumptions!$C$73</f>
        <v>18.62263048792879</v>
      </c>
      <c r="AV25" s="34">
        <f>AV21*Assumptions!$C$73</f>
        <v>19.116092209268643</v>
      </c>
      <c r="AW25" s="34">
        <f>AW21*Assumptions!$C$73</f>
        <v>19.62122949939373</v>
      </c>
      <c r="AX25" s="34">
        <f>AX21*Assumptions!$C$73</f>
        <v>20.13836236758994</v>
      </c>
      <c r="AY25" s="34">
        <f>AY21*Assumptions!$C$73</f>
        <v>20.66781959410282</v>
      </c>
      <c r="AZ25" s="34">
        <f>AZ21*Assumptions!$C$73</f>
        <v>21.209938970536005</v>
      </c>
      <c r="BA25" s="34">
        <f>BA21*Assumptions!$C$73</f>
        <v>21.76506754683858</v>
      </c>
      <c r="BB25" s="34">
        <f>BB21*Assumptions!$C$73</f>
        <v>22.333561885062384</v>
      </c>
      <c r="BC25" s="34">
        <f>BC21*Assumptions!$C$73</f>
        <v>22.915788320073375</v>
      </c>
    </row>
    <row r="26">
      <c r="A26" s="3" t="inlineStr">
        <is>
          <t>Gross profit</t>
        </is>
      </c>
      <c r="B26" s="2" t="inlineStr">
        <is>
          <t>₹ lakh</t>
        </is>
      </c>
      <c r="C26" s="35">
        <f>C21-C23-C24-C25</f>
        <v>0.6193495000000001</v>
      </c>
      <c r="D26" s="35">
        <f>D21-D23-D24-D25</f>
        <v>0.9020472499999999</v>
      </c>
      <c r="E26" s="35">
        <f>E21-E23-E24-E25</f>
        <v>3.0298619280000008</v>
      </c>
      <c r="F26" s="35">
        <f>F21-F23-F24-F25</f>
        <v>4.696397374000002</v>
      </c>
      <c r="G26" s="35">
        <f>G21-G23-G24-G25</f>
        <v>6.36293282</v>
      </c>
      <c r="H26" s="35">
        <f>H21-H23-H24-H25</f>
        <v>17.684750198505633</v>
      </c>
      <c r="I26" s="35">
        <f>I21-I23-I24-I25</f>
        <v>20.205038880453912</v>
      </c>
      <c r="J26" s="35">
        <f>J21-J23-J24-J25</f>
        <v>22.454222373954256</v>
      </c>
      <c r="K26" s="35">
        <f>K21-K23-K24-K25</f>
        <v>24.9261273704886</v>
      </c>
      <c r="L26" s="35">
        <f>L21-L23-L24-L25</f>
        <v>27.652099148378785</v>
      </c>
      <c r="M26" s="35">
        <f>M21-M23-M24-M25</f>
        <v>30.6678944435728</v>
      </c>
      <c r="N26" s="35">
        <f>N21-N23-N24-N25</f>
        <v>34.01430230737582</v>
      </c>
      <c r="O26" s="35">
        <f>O21-O23-O24-O25</f>
        <v>37.73785234217735</v>
      </c>
      <c r="P26" s="35">
        <f>P21-P23-P24-P25</f>
        <v>41.89162261253662</v>
      </c>
      <c r="Q26" s="35">
        <f>Q21-Q23-Q24-Q25</f>
        <v>46.536161259694964</v>
      </c>
      <c r="R26" s="35">
        <f>R21-R23-R24-R25</f>
        <v>51.74053782185485</v>
      </c>
      <c r="S26" s="35">
        <f>S21-S23-S24-S25</f>
        <v>57.583542514696695</v>
      </c>
      <c r="T26" s="35">
        <f>T21-T23-T24-T25</f>
        <v>80.91131883107828</v>
      </c>
      <c r="U26" s="35">
        <f>U21-U23-U24-U25</f>
        <v>88.26381254980497</v>
      </c>
      <c r="V26" s="35">
        <f>V21-V23-V24-V25</f>
        <v>93.91857300695557</v>
      </c>
      <c r="W26" s="35">
        <f>W21-W23-W24-W25</f>
        <v>99.87271752260388</v>
      </c>
      <c r="X26" s="35">
        <f>X21-X23-X24-X25</f>
        <v>106.14758551974306</v>
      </c>
      <c r="Y26" s="35">
        <f>Y21-Y23-Y24-Y25</f>
        <v>112.76603744748752</v>
      </c>
      <c r="Z26" s="35">
        <f>Z21-Z23-Z24-Z25</f>
        <v>119.75256319639982</v>
      </c>
      <c r="AA26" s="35">
        <f>AA21-AA23-AA24-AA25</f>
        <v>127.1333982414139</v>
      </c>
      <c r="AB26" s="35">
        <f>AB21-AB23-AB24-AB25</f>
        <v>134.9366480631677</v>
      </c>
      <c r="AC26" s="35">
        <f>AC21-AC23-AC24-AC25</f>
        <v>143.19242143780832</v>
      </c>
      <c r="AD26" s="35">
        <f>AD21-AD23-AD24-AD25</f>
        <v>151.93297322739227</v>
      </c>
      <c r="AE26" s="35">
        <f>AE21-AE23-AE24-AE25</f>
        <v>161.19285734807127</v>
      </c>
      <c r="AF26" s="35">
        <f>AF21-AF23-AF24-AF25</f>
        <v>195.53225032121298</v>
      </c>
      <c r="AG26" s="35">
        <f>AG21-AG23-AG24-AG25</f>
        <v>206.23760900622446</v>
      </c>
      <c r="AH26" s="35">
        <f>AH21-AH23-AH24-AH25</f>
        <v>216.47139247319578</v>
      </c>
      <c r="AI26" s="35">
        <f>AI21-AI23-AI24-AI25</f>
        <v>227.19782871307245</v>
      </c>
      <c r="AJ26" s="35">
        <f>AJ21-AJ23-AJ24-AJ25</f>
        <v>238.44534820952484</v>
      </c>
      <c r="AK26" s="35">
        <f>AK21-AK23-AK24-AK25</f>
        <v>250.2440221401313</v>
      </c>
      <c r="AL26" s="35">
        <f>AL21-AL23-AL24-AL25</f>
        <v>262.6256570591306</v>
      </c>
      <c r="AM26" s="35">
        <f>AM21-AM23-AM24-AM25</f>
        <v>275.62389504421407</v>
      </c>
      <c r="AN26" s="35">
        <f>AN21-AN23-AN24-AN25</f>
        <v>289.27431962270214</v>
      </c>
      <c r="AO26" s="35">
        <f>AO21-AO23-AO24-AO25</f>
        <v>303.6145678105922</v>
      </c>
      <c r="AP26" s="35">
        <f>AP21-AP23-AP24-AP25</f>
        <v>318.68444861727727</v>
      </c>
      <c r="AQ26" s="35">
        <f>AQ21-AQ23-AQ24-AQ25</f>
        <v>334.5260683890477</v>
      </c>
      <c r="AR26" s="35">
        <f>AR21-AR23-AR24-AR25</f>
        <v>375.6489670761314</v>
      </c>
      <c r="AS26" s="35">
        <f>AS21-AS23-AS24-AS25</f>
        <v>389.9052458396982</v>
      </c>
      <c r="AT26" s="35">
        <f>AT21-AT23-AT24-AT25</f>
        <v>400.16330672844987</v>
      </c>
      <c r="AU26" s="35">
        <f>AU21-AU23-AU24-AU25</f>
        <v>410.64272619314966</v>
      </c>
      <c r="AV26" s="35">
        <f>AV21-AV23-AV24-AV25</f>
        <v>421.3495713300683</v>
      </c>
      <c r="AW26" s="35">
        <f>AW21-AW23-AW24-AW25</f>
        <v>432.2900755251977</v>
      </c>
      <c r="AX26" s="35">
        <f>AX21-AX23-AX24-AX25</f>
        <v>443.4706430120069</v>
      </c>
      <c r="AY26" s="35">
        <f>AY21-AY23-AY24-AY25</f>
        <v>454.8978535540979</v>
      </c>
      <c r="AZ26" s="35">
        <f>AZ21-AZ23-AZ24-AZ25</f>
        <v>466.5784672562179</v>
      </c>
      <c r="BA26" s="35">
        <f>BA21-BA23-BA24-BA25</f>
        <v>478.519429507132</v>
      </c>
      <c r="BB26" s="35">
        <f>BB21-BB23-BB24-BB25</f>
        <v>490.7278760579752</v>
      </c>
      <c r="BC26" s="35">
        <f>BC21-BC23-BC24-BC25</f>
        <v>503.2111382397809</v>
      </c>
    </row>
    <row r="27">
      <c r="A27" s="13" t="inlineStr">
        <is>
          <t>People</t>
        </is>
      </c>
      <c r="B27" s="14" t="n"/>
    </row>
    <row r="28">
      <c r="A28" s="4" t="inlineStr">
        <is>
          <t>Hiring factor</t>
        </is>
      </c>
      <c r="B28" s="2" t="inlineStr">
        <is>
          <t>x plan</t>
        </is>
      </c>
      <c r="C28" s="36">
        <f>INDEX(Assumptions!$C$16:$G$16,1,C$4)</f>
        <v>1.0</v>
      </c>
      <c r="D28" s="36">
        <f>INDEX(Assumptions!$C$16:$G$16,1,D$4)</f>
        <v>1.0</v>
      </c>
      <c r="E28" s="36">
        <f>INDEX(Assumptions!$C$16:$G$16,1,E$4)</f>
        <v>1.0</v>
      </c>
      <c r="F28" s="36">
        <f>INDEX(Assumptions!$C$16:$G$16,1,F$4)</f>
        <v>1.0</v>
      </c>
      <c r="G28" s="36">
        <f>INDEX(Assumptions!$C$16:$G$16,1,G$4)</f>
        <v>1.0</v>
      </c>
      <c r="H28" s="36">
        <f>INDEX(Assumptions!$C$16:$G$16,1,H$4)</f>
        <v>1.0</v>
      </c>
      <c r="I28" s="36">
        <f>INDEX(Assumptions!$C$16:$G$16,1,I$4)</f>
        <v>1.0</v>
      </c>
      <c r="J28" s="36">
        <f>INDEX(Assumptions!$C$16:$G$16,1,J$4)</f>
        <v>1.0</v>
      </c>
      <c r="K28" s="36">
        <f>INDEX(Assumptions!$C$16:$G$16,1,K$4)</f>
        <v>1.0</v>
      </c>
      <c r="L28" s="36">
        <f>INDEX(Assumptions!$C$16:$G$16,1,L$4)</f>
        <v>1.0</v>
      </c>
      <c r="M28" s="36">
        <f>INDEX(Assumptions!$C$16:$G$16,1,M$4)</f>
        <v>1.0</v>
      </c>
      <c r="N28" s="36">
        <f>INDEX(Assumptions!$C$16:$G$16,1,N$4)</f>
        <v>1.0</v>
      </c>
      <c r="O28" s="36">
        <f>INDEX(Assumptions!$C$16:$G$16,1,O$4)</f>
        <v>1.0</v>
      </c>
      <c r="P28" s="36">
        <f>INDEX(Assumptions!$C$16:$G$16,1,P$4)</f>
        <v>1.0</v>
      </c>
      <c r="Q28" s="36">
        <f>INDEX(Assumptions!$C$16:$G$16,1,Q$4)</f>
        <v>1.0</v>
      </c>
      <c r="R28" s="36">
        <f>INDEX(Assumptions!$C$16:$G$16,1,R$4)</f>
        <v>1.0</v>
      </c>
      <c r="S28" s="36">
        <f>INDEX(Assumptions!$C$16:$G$16,1,S$4)</f>
        <v>1.0</v>
      </c>
      <c r="T28" s="36">
        <f>INDEX(Assumptions!$C$16:$G$16,1,T$4)</f>
        <v>1.0</v>
      </c>
      <c r="U28" s="36">
        <f>INDEX(Assumptions!$C$16:$G$16,1,U$4)</f>
        <v>1.0</v>
      </c>
      <c r="V28" s="36">
        <f>INDEX(Assumptions!$C$16:$G$16,1,V$4)</f>
        <v>1.0</v>
      </c>
      <c r="W28" s="36">
        <f>INDEX(Assumptions!$C$16:$G$16,1,W$4)</f>
        <v>1.0</v>
      </c>
      <c r="X28" s="36">
        <f>INDEX(Assumptions!$C$16:$G$16,1,X$4)</f>
        <v>1.0</v>
      </c>
      <c r="Y28" s="36">
        <f>INDEX(Assumptions!$C$16:$G$16,1,Y$4)</f>
        <v>1.0</v>
      </c>
      <c r="Z28" s="36">
        <f>INDEX(Assumptions!$C$16:$G$16,1,Z$4)</f>
        <v>1.0</v>
      </c>
      <c r="AA28" s="36">
        <f>INDEX(Assumptions!$C$16:$G$16,1,AA$4)</f>
        <v>1.0</v>
      </c>
      <c r="AB28" s="36">
        <f>INDEX(Assumptions!$C$16:$G$16,1,AB$4)</f>
        <v>1.0</v>
      </c>
      <c r="AC28" s="36">
        <f>INDEX(Assumptions!$C$16:$G$16,1,AC$4)</f>
        <v>1.0</v>
      </c>
      <c r="AD28" s="36">
        <f>INDEX(Assumptions!$C$16:$G$16,1,AD$4)</f>
        <v>1.0</v>
      </c>
      <c r="AE28" s="36">
        <f>INDEX(Assumptions!$C$16:$G$16,1,AE$4)</f>
        <v>1.0</v>
      </c>
      <c r="AF28" s="36">
        <f>INDEX(Assumptions!$C$16:$G$16,1,AF$4)</f>
        <v>1.0</v>
      </c>
      <c r="AG28" s="36">
        <f>INDEX(Assumptions!$C$16:$G$16,1,AG$4)</f>
        <v>1.0</v>
      </c>
      <c r="AH28" s="36">
        <f>INDEX(Assumptions!$C$16:$G$16,1,AH$4)</f>
        <v>1.0</v>
      </c>
      <c r="AI28" s="36">
        <f>INDEX(Assumptions!$C$16:$G$16,1,AI$4)</f>
        <v>1.0</v>
      </c>
      <c r="AJ28" s="36">
        <f>INDEX(Assumptions!$C$16:$G$16,1,AJ$4)</f>
        <v>1.0</v>
      </c>
      <c r="AK28" s="36">
        <f>INDEX(Assumptions!$C$16:$G$16,1,AK$4)</f>
        <v>1.0</v>
      </c>
      <c r="AL28" s="36">
        <f>INDEX(Assumptions!$C$16:$G$16,1,AL$4)</f>
        <v>1.0</v>
      </c>
      <c r="AM28" s="36">
        <f>INDEX(Assumptions!$C$16:$G$16,1,AM$4)</f>
        <v>1.0</v>
      </c>
      <c r="AN28" s="36">
        <f>INDEX(Assumptions!$C$16:$G$16,1,AN$4)</f>
        <v>1.0</v>
      </c>
      <c r="AO28" s="36">
        <f>INDEX(Assumptions!$C$16:$G$16,1,AO$4)</f>
        <v>1.0</v>
      </c>
      <c r="AP28" s="36">
        <f>INDEX(Assumptions!$C$16:$G$16,1,AP$4)</f>
        <v>1.0</v>
      </c>
      <c r="AQ28" s="36">
        <f>INDEX(Assumptions!$C$16:$G$16,1,AQ$4)</f>
        <v>1.0</v>
      </c>
      <c r="AR28" s="36">
        <f>INDEX(Assumptions!$C$16:$G$16,1,AR$4)</f>
        <v>1.0</v>
      </c>
      <c r="AS28" s="36">
        <f>INDEX(Assumptions!$C$16:$G$16,1,AS$4)</f>
        <v>1.0</v>
      </c>
      <c r="AT28" s="36">
        <f>INDEX(Assumptions!$C$16:$G$16,1,AT$4)</f>
        <v>1.0</v>
      </c>
      <c r="AU28" s="36">
        <f>INDEX(Assumptions!$C$16:$G$16,1,AU$4)</f>
        <v>1.0</v>
      </c>
      <c r="AV28" s="36">
        <f>INDEX(Assumptions!$C$16:$G$16,1,AV$4)</f>
        <v>1.0</v>
      </c>
      <c r="AW28" s="36">
        <f>INDEX(Assumptions!$C$16:$G$16,1,AW$4)</f>
        <v>1.0</v>
      </c>
      <c r="AX28" s="36">
        <f>INDEX(Assumptions!$C$16:$G$16,1,AX$4)</f>
        <v>1.0</v>
      </c>
      <c r="AY28" s="36">
        <f>INDEX(Assumptions!$C$16:$G$16,1,AY$4)</f>
        <v>1.0</v>
      </c>
      <c r="AZ28" s="36">
        <f>INDEX(Assumptions!$C$16:$G$16,1,AZ$4)</f>
        <v>1.0</v>
      </c>
      <c r="BA28" s="36">
        <f>INDEX(Assumptions!$C$16:$G$16,1,BA$4)</f>
        <v>1.0</v>
      </c>
      <c r="BB28" s="36">
        <f>INDEX(Assumptions!$C$16:$G$16,1,BB$4)</f>
        <v>1.0</v>
      </c>
      <c r="BC28" s="36">
        <f>INDEX(Assumptions!$C$16:$G$16,1,BC$4)</f>
        <v>1.0</v>
      </c>
    </row>
    <row r="29">
      <c r="A29" s="4" t="inlineStr">
        <is>
          <t>Heads: Product &amp; engineering (incl. design, ML/PV)</t>
        </is>
      </c>
      <c r="B29" s="2" t="inlineStr">
        <is>
          <t>people (ramp)</t>
        </is>
      </c>
      <c r="C29" s="34">
        <f>(INDEX(Assumptions!$C$51:$G$51,1,C$4)+(INDEX(Assumptions!$C$51:$G$51,1,C$4)-IF(C$4=1,Assumptions!$H$51,INDEX(Assumptions!$C$51:$G$51,1,MAX(1,C$4-1))))*(C$5-(C$6+1)/2)/C$6)*C28</f>
        <v>3.4</v>
      </c>
      <c r="D29" s="34">
        <f>(INDEX(Assumptions!$C$51:$G$51,1,D$4)+(INDEX(Assumptions!$C$51:$G$51,1,D$4)-IF(D$4=1,Assumptions!$H$51,INDEX(Assumptions!$C$51:$G$51,1,MAX(1,D$4-1))))*(D$5-(D$6+1)/2)/D$6)*D28</f>
        <v>4.2</v>
      </c>
      <c r="E29" s="34">
        <f>(INDEX(Assumptions!$C$51:$G$51,1,E$4)+(INDEX(Assumptions!$C$51:$G$51,1,E$4)-IF(E$4=1,Assumptions!$H$51,INDEX(Assumptions!$C$51:$G$51,1,MAX(1,E$4-1))))*(E$5-(E$6+1)/2)/E$6)*E28</f>
        <v>5.0</v>
      </c>
      <c r="F29" s="34">
        <f>(INDEX(Assumptions!$C$51:$G$51,1,F$4)+(INDEX(Assumptions!$C$51:$G$51,1,F$4)-IF(F$4=1,Assumptions!$H$51,INDEX(Assumptions!$C$51:$G$51,1,MAX(1,F$4-1))))*(F$5-(F$6+1)/2)/F$6)*F28</f>
        <v>5.8</v>
      </c>
      <c r="G29" s="34">
        <f>(INDEX(Assumptions!$C$51:$G$51,1,G$4)+(INDEX(Assumptions!$C$51:$G$51,1,G$4)-IF(G$4=1,Assumptions!$H$51,INDEX(Assumptions!$C$51:$G$51,1,MAX(1,G$4-1))))*(G$5-(G$6+1)/2)/G$6)*G28</f>
        <v>6.6</v>
      </c>
      <c r="H29" s="34">
        <f>(INDEX(Assumptions!$C$51:$G$51,1,H$4)+(INDEX(Assumptions!$C$51:$G$51,1,H$4)-IF(H$4=1,Assumptions!$H$51,INDEX(Assumptions!$C$51:$G$51,1,MAX(1,H$4-1))))*(H$5-(H$6+1)/2)/H$6)*H28</f>
        <v>8.791666666666666</v>
      </c>
      <c r="I29" s="34">
        <f>(INDEX(Assumptions!$C$51:$G$51,1,I$4)+(INDEX(Assumptions!$C$51:$G$51,1,I$4)-IF(I$4=1,Assumptions!$H$51,INDEX(Assumptions!$C$51:$G$51,1,MAX(1,I$4-1))))*(I$5-(I$6+1)/2)/I$6)*I28</f>
        <v>9.375</v>
      </c>
      <c r="J29" s="34">
        <f>(INDEX(Assumptions!$C$51:$G$51,1,J$4)+(INDEX(Assumptions!$C$51:$G$51,1,J$4)-IF(J$4=1,Assumptions!$H$51,INDEX(Assumptions!$C$51:$G$51,1,MAX(1,J$4-1))))*(J$5-(J$6+1)/2)/J$6)*J28</f>
        <v>9.958333333333334</v>
      </c>
      <c r="K29" s="34">
        <f>(INDEX(Assumptions!$C$51:$G$51,1,K$4)+(INDEX(Assumptions!$C$51:$G$51,1,K$4)-IF(K$4=1,Assumptions!$H$51,INDEX(Assumptions!$C$51:$G$51,1,MAX(1,K$4-1))))*(K$5-(K$6+1)/2)/K$6)*K28</f>
        <v>10.541666666666666</v>
      </c>
      <c r="L29" s="34">
        <f>(INDEX(Assumptions!$C$51:$G$51,1,L$4)+(INDEX(Assumptions!$C$51:$G$51,1,L$4)-IF(L$4=1,Assumptions!$H$51,INDEX(Assumptions!$C$51:$G$51,1,MAX(1,L$4-1))))*(L$5-(L$6+1)/2)/L$6)*L28</f>
        <v>11.125</v>
      </c>
      <c r="M29" s="34">
        <f>(INDEX(Assumptions!$C$51:$G$51,1,M$4)+(INDEX(Assumptions!$C$51:$G$51,1,M$4)-IF(M$4=1,Assumptions!$H$51,INDEX(Assumptions!$C$51:$G$51,1,MAX(1,M$4-1))))*(M$5-(M$6+1)/2)/M$6)*M28</f>
        <v>11.708333333333334</v>
      </c>
      <c r="N29" s="34">
        <f>(INDEX(Assumptions!$C$51:$G$51,1,N$4)+(INDEX(Assumptions!$C$51:$G$51,1,N$4)-IF(N$4=1,Assumptions!$H$51,INDEX(Assumptions!$C$51:$G$51,1,MAX(1,N$4-1))))*(N$5-(N$6+1)/2)/N$6)*N28</f>
        <v>12.291666666666666</v>
      </c>
      <c r="O29" s="34">
        <f>(INDEX(Assumptions!$C$51:$G$51,1,O$4)+(INDEX(Assumptions!$C$51:$G$51,1,O$4)-IF(O$4=1,Assumptions!$H$51,INDEX(Assumptions!$C$51:$G$51,1,MAX(1,O$4-1))))*(O$5-(O$6+1)/2)/O$6)*O28</f>
        <v>12.875</v>
      </c>
      <c r="P29" s="34">
        <f>(INDEX(Assumptions!$C$51:$G$51,1,P$4)+(INDEX(Assumptions!$C$51:$G$51,1,P$4)-IF(P$4=1,Assumptions!$H$51,INDEX(Assumptions!$C$51:$G$51,1,MAX(1,P$4-1))))*(P$5-(P$6+1)/2)/P$6)*P28</f>
        <v>13.458333333333334</v>
      </c>
      <c r="Q29" s="34">
        <f>(INDEX(Assumptions!$C$51:$G$51,1,Q$4)+(INDEX(Assumptions!$C$51:$G$51,1,Q$4)-IF(Q$4=1,Assumptions!$H$51,INDEX(Assumptions!$C$51:$G$51,1,MAX(1,Q$4-1))))*(Q$5-(Q$6+1)/2)/Q$6)*Q28</f>
        <v>14.041666666666666</v>
      </c>
      <c r="R29" s="34">
        <f>(INDEX(Assumptions!$C$51:$G$51,1,R$4)+(INDEX(Assumptions!$C$51:$G$51,1,R$4)-IF(R$4=1,Assumptions!$H$51,INDEX(Assumptions!$C$51:$G$51,1,MAX(1,R$4-1))))*(R$5-(R$6+1)/2)/R$6)*R28</f>
        <v>14.625</v>
      </c>
      <c r="S29" s="34">
        <f>(INDEX(Assumptions!$C$51:$G$51,1,S$4)+(INDEX(Assumptions!$C$51:$G$51,1,S$4)-IF(S$4=1,Assumptions!$H$51,INDEX(Assumptions!$C$51:$G$51,1,MAX(1,S$4-1))))*(S$5-(S$6+1)/2)/S$6)*S28</f>
        <v>15.208333333333334</v>
      </c>
      <c r="T29" s="34">
        <f>(INDEX(Assumptions!$C$51:$G$51,1,T$4)+(INDEX(Assumptions!$C$51:$G$51,1,T$4)-IF(T$4=1,Assumptions!$H$51,INDEX(Assumptions!$C$51:$G$51,1,MAX(1,T$4-1))))*(T$5-(T$6+1)/2)/T$6)*T28</f>
        <v>15.25</v>
      </c>
      <c r="U29" s="34">
        <f>(INDEX(Assumptions!$C$51:$G$51,1,U$4)+(INDEX(Assumptions!$C$51:$G$51,1,U$4)-IF(U$4=1,Assumptions!$H$51,INDEX(Assumptions!$C$51:$G$51,1,MAX(1,U$4-1))))*(U$5-(U$6+1)/2)/U$6)*U28</f>
        <v>15.75</v>
      </c>
      <c r="V29" s="34">
        <f>(INDEX(Assumptions!$C$51:$G$51,1,V$4)+(INDEX(Assumptions!$C$51:$G$51,1,V$4)-IF(V$4=1,Assumptions!$H$51,INDEX(Assumptions!$C$51:$G$51,1,MAX(1,V$4-1))))*(V$5-(V$6+1)/2)/V$6)*V28</f>
        <v>16.25</v>
      </c>
      <c r="W29" s="34">
        <f>(INDEX(Assumptions!$C$51:$G$51,1,W$4)+(INDEX(Assumptions!$C$51:$G$51,1,W$4)-IF(W$4=1,Assumptions!$H$51,INDEX(Assumptions!$C$51:$G$51,1,MAX(1,W$4-1))))*(W$5-(W$6+1)/2)/W$6)*W28</f>
        <v>16.75</v>
      </c>
      <c r="X29" s="34">
        <f>(INDEX(Assumptions!$C$51:$G$51,1,X$4)+(INDEX(Assumptions!$C$51:$G$51,1,X$4)-IF(X$4=1,Assumptions!$H$51,INDEX(Assumptions!$C$51:$G$51,1,MAX(1,X$4-1))))*(X$5-(X$6+1)/2)/X$6)*X28</f>
        <v>17.25</v>
      </c>
      <c r="Y29" s="34">
        <f>(INDEX(Assumptions!$C$51:$G$51,1,Y$4)+(INDEX(Assumptions!$C$51:$G$51,1,Y$4)-IF(Y$4=1,Assumptions!$H$51,INDEX(Assumptions!$C$51:$G$51,1,MAX(1,Y$4-1))))*(Y$5-(Y$6+1)/2)/Y$6)*Y28</f>
        <v>17.75</v>
      </c>
      <c r="Z29" s="34">
        <f>(INDEX(Assumptions!$C$51:$G$51,1,Z$4)+(INDEX(Assumptions!$C$51:$G$51,1,Z$4)-IF(Z$4=1,Assumptions!$H$51,INDEX(Assumptions!$C$51:$G$51,1,MAX(1,Z$4-1))))*(Z$5-(Z$6+1)/2)/Z$6)*Z28</f>
        <v>18.25</v>
      </c>
      <c r="AA29" s="34">
        <f>(INDEX(Assumptions!$C$51:$G$51,1,AA$4)+(INDEX(Assumptions!$C$51:$G$51,1,AA$4)-IF(AA$4=1,Assumptions!$H$51,INDEX(Assumptions!$C$51:$G$51,1,MAX(1,AA$4-1))))*(AA$5-(AA$6+1)/2)/AA$6)*AA28</f>
        <v>18.75</v>
      </c>
      <c r="AB29" s="34">
        <f>(INDEX(Assumptions!$C$51:$G$51,1,AB$4)+(INDEX(Assumptions!$C$51:$G$51,1,AB$4)-IF(AB$4=1,Assumptions!$H$51,INDEX(Assumptions!$C$51:$G$51,1,MAX(1,AB$4-1))))*(AB$5-(AB$6+1)/2)/AB$6)*AB28</f>
        <v>19.25</v>
      </c>
      <c r="AC29" s="34">
        <f>(INDEX(Assumptions!$C$51:$G$51,1,AC$4)+(INDEX(Assumptions!$C$51:$G$51,1,AC$4)-IF(AC$4=1,Assumptions!$H$51,INDEX(Assumptions!$C$51:$G$51,1,MAX(1,AC$4-1))))*(AC$5-(AC$6+1)/2)/AC$6)*AC28</f>
        <v>19.75</v>
      </c>
      <c r="AD29" s="34">
        <f>(INDEX(Assumptions!$C$51:$G$51,1,AD$4)+(INDEX(Assumptions!$C$51:$G$51,1,AD$4)-IF(AD$4=1,Assumptions!$H$51,INDEX(Assumptions!$C$51:$G$51,1,MAX(1,AD$4-1))))*(AD$5-(AD$6+1)/2)/AD$6)*AD28</f>
        <v>20.25</v>
      </c>
      <c r="AE29" s="34">
        <f>(INDEX(Assumptions!$C$51:$G$51,1,AE$4)+(INDEX(Assumptions!$C$51:$G$51,1,AE$4)-IF(AE$4=1,Assumptions!$H$51,INDEX(Assumptions!$C$51:$G$51,1,MAX(1,AE$4-1))))*(AE$5-(AE$6+1)/2)/AE$6)*AE28</f>
        <v>20.75</v>
      </c>
      <c r="AF29" s="34">
        <f>(INDEX(Assumptions!$C$51:$G$51,1,AF$4)+(INDEX(Assumptions!$C$51:$G$51,1,AF$4)-IF(AF$4=1,Assumptions!$H$51,INDEX(Assumptions!$C$51:$G$51,1,MAX(1,AF$4-1))))*(AF$5-(AF$6+1)/2)/AF$6)*AF28</f>
        <v>21.25</v>
      </c>
      <c r="AG29" s="34">
        <f>(INDEX(Assumptions!$C$51:$G$51,1,AG$4)+(INDEX(Assumptions!$C$51:$G$51,1,AG$4)-IF(AG$4=1,Assumptions!$H$51,INDEX(Assumptions!$C$51:$G$51,1,MAX(1,AG$4-1))))*(AG$5-(AG$6+1)/2)/AG$6)*AG28</f>
        <v>21.75</v>
      </c>
      <c r="AH29" s="34">
        <f>(INDEX(Assumptions!$C$51:$G$51,1,AH$4)+(INDEX(Assumptions!$C$51:$G$51,1,AH$4)-IF(AH$4=1,Assumptions!$H$51,INDEX(Assumptions!$C$51:$G$51,1,MAX(1,AH$4-1))))*(AH$5-(AH$6+1)/2)/AH$6)*AH28</f>
        <v>22.25</v>
      </c>
      <c r="AI29" s="34">
        <f>(INDEX(Assumptions!$C$51:$G$51,1,AI$4)+(INDEX(Assumptions!$C$51:$G$51,1,AI$4)-IF(AI$4=1,Assumptions!$H$51,INDEX(Assumptions!$C$51:$G$51,1,MAX(1,AI$4-1))))*(AI$5-(AI$6+1)/2)/AI$6)*AI28</f>
        <v>22.75</v>
      </c>
      <c r="AJ29" s="34">
        <f>(INDEX(Assumptions!$C$51:$G$51,1,AJ$4)+(INDEX(Assumptions!$C$51:$G$51,1,AJ$4)-IF(AJ$4=1,Assumptions!$H$51,INDEX(Assumptions!$C$51:$G$51,1,MAX(1,AJ$4-1))))*(AJ$5-(AJ$6+1)/2)/AJ$6)*AJ28</f>
        <v>23.25</v>
      </c>
      <c r="AK29" s="34">
        <f>(INDEX(Assumptions!$C$51:$G$51,1,AK$4)+(INDEX(Assumptions!$C$51:$G$51,1,AK$4)-IF(AK$4=1,Assumptions!$H$51,INDEX(Assumptions!$C$51:$G$51,1,MAX(1,AK$4-1))))*(AK$5-(AK$6+1)/2)/AK$6)*AK28</f>
        <v>23.75</v>
      </c>
      <c r="AL29" s="34">
        <f>(INDEX(Assumptions!$C$51:$G$51,1,AL$4)+(INDEX(Assumptions!$C$51:$G$51,1,AL$4)-IF(AL$4=1,Assumptions!$H$51,INDEX(Assumptions!$C$51:$G$51,1,MAX(1,AL$4-1))))*(AL$5-(AL$6+1)/2)/AL$6)*AL28</f>
        <v>24.25</v>
      </c>
      <c r="AM29" s="34">
        <f>(INDEX(Assumptions!$C$51:$G$51,1,AM$4)+(INDEX(Assumptions!$C$51:$G$51,1,AM$4)-IF(AM$4=1,Assumptions!$H$51,INDEX(Assumptions!$C$51:$G$51,1,MAX(1,AM$4-1))))*(AM$5-(AM$6+1)/2)/AM$6)*AM28</f>
        <v>24.75</v>
      </c>
      <c r="AN29" s="34">
        <f>(INDEX(Assumptions!$C$51:$G$51,1,AN$4)+(INDEX(Assumptions!$C$51:$G$51,1,AN$4)-IF(AN$4=1,Assumptions!$H$51,INDEX(Assumptions!$C$51:$G$51,1,MAX(1,AN$4-1))))*(AN$5-(AN$6+1)/2)/AN$6)*AN28</f>
        <v>25.25</v>
      </c>
      <c r="AO29" s="34">
        <f>(INDEX(Assumptions!$C$51:$G$51,1,AO$4)+(INDEX(Assumptions!$C$51:$G$51,1,AO$4)-IF(AO$4=1,Assumptions!$H$51,INDEX(Assumptions!$C$51:$G$51,1,MAX(1,AO$4-1))))*(AO$5-(AO$6+1)/2)/AO$6)*AO28</f>
        <v>25.75</v>
      </c>
      <c r="AP29" s="34">
        <f>(INDEX(Assumptions!$C$51:$G$51,1,AP$4)+(INDEX(Assumptions!$C$51:$G$51,1,AP$4)-IF(AP$4=1,Assumptions!$H$51,INDEX(Assumptions!$C$51:$G$51,1,MAX(1,AP$4-1))))*(AP$5-(AP$6+1)/2)/AP$6)*AP28</f>
        <v>26.25</v>
      </c>
      <c r="AQ29" s="34">
        <f>(INDEX(Assumptions!$C$51:$G$51,1,AQ$4)+(INDEX(Assumptions!$C$51:$G$51,1,AQ$4)-IF(AQ$4=1,Assumptions!$H$51,INDEX(Assumptions!$C$51:$G$51,1,MAX(1,AQ$4-1))))*(AQ$5-(AQ$6+1)/2)/AQ$6)*AQ28</f>
        <v>26.75</v>
      </c>
      <c r="AR29" s="34">
        <f>(INDEX(Assumptions!$C$51:$G$51,1,AR$4)+(INDEX(Assumptions!$C$51:$G$51,1,AR$4)-IF(AR$4=1,Assumptions!$H$51,INDEX(Assumptions!$C$51:$G$51,1,MAX(1,AR$4-1))))*(AR$5-(AR$6+1)/2)/AR$6)*AR28</f>
        <v>27.25</v>
      </c>
      <c r="AS29" s="34">
        <f>(INDEX(Assumptions!$C$51:$G$51,1,AS$4)+(INDEX(Assumptions!$C$51:$G$51,1,AS$4)-IF(AS$4=1,Assumptions!$H$51,INDEX(Assumptions!$C$51:$G$51,1,MAX(1,AS$4-1))))*(AS$5-(AS$6+1)/2)/AS$6)*AS28</f>
        <v>27.75</v>
      </c>
      <c r="AT29" s="34">
        <f>(INDEX(Assumptions!$C$51:$G$51,1,AT$4)+(INDEX(Assumptions!$C$51:$G$51,1,AT$4)-IF(AT$4=1,Assumptions!$H$51,INDEX(Assumptions!$C$51:$G$51,1,MAX(1,AT$4-1))))*(AT$5-(AT$6+1)/2)/AT$6)*AT28</f>
        <v>28.25</v>
      </c>
      <c r="AU29" s="34">
        <f>(INDEX(Assumptions!$C$51:$G$51,1,AU$4)+(INDEX(Assumptions!$C$51:$G$51,1,AU$4)-IF(AU$4=1,Assumptions!$H$51,INDEX(Assumptions!$C$51:$G$51,1,MAX(1,AU$4-1))))*(AU$5-(AU$6+1)/2)/AU$6)*AU28</f>
        <v>28.75</v>
      </c>
      <c r="AV29" s="34">
        <f>(INDEX(Assumptions!$C$51:$G$51,1,AV$4)+(INDEX(Assumptions!$C$51:$G$51,1,AV$4)-IF(AV$4=1,Assumptions!$H$51,INDEX(Assumptions!$C$51:$G$51,1,MAX(1,AV$4-1))))*(AV$5-(AV$6+1)/2)/AV$6)*AV28</f>
        <v>29.25</v>
      </c>
      <c r="AW29" s="34">
        <f>(INDEX(Assumptions!$C$51:$G$51,1,AW$4)+(INDEX(Assumptions!$C$51:$G$51,1,AW$4)-IF(AW$4=1,Assumptions!$H$51,INDEX(Assumptions!$C$51:$G$51,1,MAX(1,AW$4-1))))*(AW$5-(AW$6+1)/2)/AW$6)*AW28</f>
        <v>29.75</v>
      </c>
      <c r="AX29" s="34">
        <f>(INDEX(Assumptions!$C$51:$G$51,1,AX$4)+(INDEX(Assumptions!$C$51:$G$51,1,AX$4)-IF(AX$4=1,Assumptions!$H$51,INDEX(Assumptions!$C$51:$G$51,1,MAX(1,AX$4-1))))*(AX$5-(AX$6+1)/2)/AX$6)*AX28</f>
        <v>30.25</v>
      </c>
      <c r="AY29" s="34">
        <f>(INDEX(Assumptions!$C$51:$G$51,1,AY$4)+(INDEX(Assumptions!$C$51:$G$51,1,AY$4)-IF(AY$4=1,Assumptions!$H$51,INDEX(Assumptions!$C$51:$G$51,1,MAX(1,AY$4-1))))*(AY$5-(AY$6+1)/2)/AY$6)*AY28</f>
        <v>30.75</v>
      </c>
      <c r="AZ29" s="34">
        <f>(INDEX(Assumptions!$C$51:$G$51,1,AZ$4)+(INDEX(Assumptions!$C$51:$G$51,1,AZ$4)-IF(AZ$4=1,Assumptions!$H$51,INDEX(Assumptions!$C$51:$G$51,1,MAX(1,AZ$4-1))))*(AZ$5-(AZ$6+1)/2)/AZ$6)*AZ28</f>
        <v>31.25</v>
      </c>
      <c r="BA29" s="34">
        <f>(INDEX(Assumptions!$C$51:$G$51,1,BA$4)+(INDEX(Assumptions!$C$51:$G$51,1,BA$4)-IF(BA$4=1,Assumptions!$H$51,INDEX(Assumptions!$C$51:$G$51,1,MAX(1,BA$4-1))))*(BA$5-(BA$6+1)/2)/BA$6)*BA28</f>
        <v>31.75</v>
      </c>
      <c r="BB29" s="34">
        <f>(INDEX(Assumptions!$C$51:$G$51,1,BB$4)+(INDEX(Assumptions!$C$51:$G$51,1,BB$4)-IF(BB$4=1,Assumptions!$H$51,INDEX(Assumptions!$C$51:$G$51,1,MAX(1,BB$4-1))))*(BB$5-(BB$6+1)/2)/BB$6)*BB28</f>
        <v>32.25</v>
      </c>
      <c r="BC29" s="34">
        <f>(INDEX(Assumptions!$C$51:$G$51,1,BC$4)+(INDEX(Assumptions!$C$51:$G$51,1,BC$4)-IF(BC$4=1,Assumptions!$H$51,INDEX(Assumptions!$C$51:$G$51,1,MAX(1,BC$4-1))))*(BC$5-(BC$6+1)/2)/BC$6)*BC28</f>
        <v>32.75</v>
      </c>
    </row>
    <row r="30">
      <c r="A30" s="4" t="inlineStr">
        <is>
          <t>Heads: Growth &amp; content</t>
        </is>
      </c>
      <c r="B30" s="2" t="inlineStr">
        <is>
          <t>people (ramp)</t>
        </is>
      </c>
      <c r="C30" s="34">
        <f>(INDEX(Assumptions!$C$52:$G$52,1,C$4)+(INDEX(Assumptions!$C$52:$G$52,1,C$4)-IF(C$4=1,Assumptions!$H$52,INDEX(Assumptions!$C$52:$G$52,1,MAX(1,C$4-1))))*(C$5-(C$6+1)/2)/C$6)*C28</f>
        <v>1.6</v>
      </c>
      <c r="D30" s="34">
        <f>(INDEX(Assumptions!$C$52:$G$52,1,D$4)+(INDEX(Assumptions!$C$52:$G$52,1,D$4)-IF(D$4=1,Assumptions!$H$52,INDEX(Assumptions!$C$52:$G$52,1,MAX(1,D$4-1))))*(D$5-(D$6+1)/2)/D$6)*D28</f>
        <v>1.8</v>
      </c>
      <c r="E30" s="34">
        <f>(INDEX(Assumptions!$C$52:$G$52,1,E$4)+(INDEX(Assumptions!$C$52:$G$52,1,E$4)-IF(E$4=1,Assumptions!$H$52,INDEX(Assumptions!$C$52:$G$52,1,MAX(1,E$4-1))))*(E$5-(E$6+1)/2)/E$6)*E28</f>
        <v>2.0</v>
      </c>
      <c r="F30" s="34">
        <f>(INDEX(Assumptions!$C$52:$G$52,1,F$4)+(INDEX(Assumptions!$C$52:$G$52,1,F$4)-IF(F$4=1,Assumptions!$H$52,INDEX(Assumptions!$C$52:$G$52,1,MAX(1,F$4-1))))*(F$5-(F$6+1)/2)/F$6)*F28</f>
        <v>2.2</v>
      </c>
      <c r="G30" s="34">
        <f>(INDEX(Assumptions!$C$52:$G$52,1,G$4)+(INDEX(Assumptions!$C$52:$G$52,1,G$4)-IF(G$4=1,Assumptions!$H$52,INDEX(Assumptions!$C$52:$G$52,1,MAX(1,G$4-1))))*(G$5-(G$6+1)/2)/G$6)*G28</f>
        <v>2.4</v>
      </c>
      <c r="H30" s="34">
        <f>(INDEX(Assumptions!$C$52:$G$52,1,H$4)+(INDEX(Assumptions!$C$52:$G$52,1,H$4)-IF(H$4=1,Assumptions!$H$52,INDEX(Assumptions!$C$52:$G$52,1,MAX(1,H$4-1))))*(H$5-(H$6+1)/2)/H$6)*H28</f>
        <v>3.0833333333333335</v>
      </c>
      <c r="I30" s="34">
        <f>(INDEX(Assumptions!$C$52:$G$52,1,I$4)+(INDEX(Assumptions!$C$52:$G$52,1,I$4)-IF(I$4=1,Assumptions!$H$52,INDEX(Assumptions!$C$52:$G$52,1,MAX(1,I$4-1))))*(I$5-(I$6+1)/2)/I$6)*I28</f>
        <v>3.25</v>
      </c>
      <c r="J30" s="34">
        <f>(INDEX(Assumptions!$C$52:$G$52,1,J$4)+(INDEX(Assumptions!$C$52:$G$52,1,J$4)-IF(J$4=1,Assumptions!$H$52,INDEX(Assumptions!$C$52:$G$52,1,MAX(1,J$4-1))))*(J$5-(J$6+1)/2)/J$6)*J28</f>
        <v>3.4166666666666665</v>
      </c>
      <c r="K30" s="34">
        <f>(INDEX(Assumptions!$C$52:$G$52,1,K$4)+(INDEX(Assumptions!$C$52:$G$52,1,K$4)-IF(K$4=1,Assumptions!$H$52,INDEX(Assumptions!$C$52:$G$52,1,MAX(1,K$4-1))))*(K$5-(K$6+1)/2)/K$6)*K28</f>
        <v>3.5833333333333335</v>
      </c>
      <c r="L30" s="34">
        <f>(INDEX(Assumptions!$C$52:$G$52,1,L$4)+(INDEX(Assumptions!$C$52:$G$52,1,L$4)-IF(L$4=1,Assumptions!$H$52,INDEX(Assumptions!$C$52:$G$52,1,MAX(1,L$4-1))))*(L$5-(L$6+1)/2)/L$6)*L28</f>
        <v>3.75</v>
      </c>
      <c r="M30" s="34">
        <f>(INDEX(Assumptions!$C$52:$G$52,1,M$4)+(INDEX(Assumptions!$C$52:$G$52,1,M$4)-IF(M$4=1,Assumptions!$H$52,INDEX(Assumptions!$C$52:$G$52,1,MAX(1,M$4-1))))*(M$5-(M$6+1)/2)/M$6)*M28</f>
        <v>3.9166666666666665</v>
      </c>
      <c r="N30" s="34">
        <f>(INDEX(Assumptions!$C$52:$G$52,1,N$4)+(INDEX(Assumptions!$C$52:$G$52,1,N$4)-IF(N$4=1,Assumptions!$H$52,INDEX(Assumptions!$C$52:$G$52,1,MAX(1,N$4-1))))*(N$5-(N$6+1)/2)/N$6)*N28</f>
        <v>4.083333333333333</v>
      </c>
      <c r="O30" s="34">
        <f>(INDEX(Assumptions!$C$52:$G$52,1,O$4)+(INDEX(Assumptions!$C$52:$G$52,1,O$4)-IF(O$4=1,Assumptions!$H$52,INDEX(Assumptions!$C$52:$G$52,1,MAX(1,O$4-1))))*(O$5-(O$6+1)/2)/O$6)*O28</f>
        <v>4.25</v>
      </c>
      <c r="P30" s="34">
        <f>(INDEX(Assumptions!$C$52:$G$52,1,P$4)+(INDEX(Assumptions!$C$52:$G$52,1,P$4)-IF(P$4=1,Assumptions!$H$52,INDEX(Assumptions!$C$52:$G$52,1,MAX(1,P$4-1))))*(P$5-(P$6+1)/2)/P$6)*P28</f>
        <v>4.416666666666667</v>
      </c>
      <c r="Q30" s="34">
        <f>(INDEX(Assumptions!$C$52:$G$52,1,Q$4)+(INDEX(Assumptions!$C$52:$G$52,1,Q$4)-IF(Q$4=1,Assumptions!$H$52,INDEX(Assumptions!$C$52:$G$52,1,MAX(1,Q$4-1))))*(Q$5-(Q$6+1)/2)/Q$6)*Q28</f>
        <v>4.583333333333333</v>
      </c>
      <c r="R30" s="34">
        <f>(INDEX(Assumptions!$C$52:$G$52,1,R$4)+(INDEX(Assumptions!$C$52:$G$52,1,R$4)-IF(R$4=1,Assumptions!$H$52,INDEX(Assumptions!$C$52:$G$52,1,MAX(1,R$4-1))))*(R$5-(R$6+1)/2)/R$6)*R28</f>
        <v>4.75</v>
      </c>
      <c r="S30" s="34">
        <f>(INDEX(Assumptions!$C$52:$G$52,1,S$4)+(INDEX(Assumptions!$C$52:$G$52,1,S$4)-IF(S$4=1,Assumptions!$H$52,INDEX(Assumptions!$C$52:$G$52,1,MAX(1,S$4-1))))*(S$5-(S$6+1)/2)/S$6)*S28</f>
        <v>4.916666666666667</v>
      </c>
      <c r="T30" s="34">
        <f>(INDEX(Assumptions!$C$52:$G$52,1,T$4)+(INDEX(Assumptions!$C$52:$G$52,1,T$4)-IF(T$4=1,Assumptions!$H$52,INDEX(Assumptions!$C$52:$G$52,1,MAX(1,T$4-1))))*(T$5-(T$6+1)/2)/T$6)*T28</f>
        <v>5.625</v>
      </c>
      <c r="U30" s="34">
        <f>(INDEX(Assumptions!$C$52:$G$52,1,U$4)+(INDEX(Assumptions!$C$52:$G$52,1,U$4)-IF(U$4=1,Assumptions!$H$52,INDEX(Assumptions!$C$52:$G$52,1,MAX(1,U$4-1))))*(U$5-(U$6+1)/2)/U$6)*U28</f>
        <v>5.875</v>
      </c>
      <c r="V30" s="34">
        <f>(INDEX(Assumptions!$C$52:$G$52,1,V$4)+(INDEX(Assumptions!$C$52:$G$52,1,V$4)-IF(V$4=1,Assumptions!$H$52,INDEX(Assumptions!$C$52:$G$52,1,MAX(1,V$4-1))))*(V$5-(V$6+1)/2)/V$6)*V28</f>
        <v>6.125</v>
      </c>
      <c r="W30" s="34">
        <f>(INDEX(Assumptions!$C$52:$G$52,1,W$4)+(INDEX(Assumptions!$C$52:$G$52,1,W$4)-IF(W$4=1,Assumptions!$H$52,INDEX(Assumptions!$C$52:$G$52,1,MAX(1,W$4-1))))*(W$5-(W$6+1)/2)/W$6)*W28</f>
        <v>6.375</v>
      </c>
      <c r="X30" s="34">
        <f>(INDEX(Assumptions!$C$52:$G$52,1,X$4)+(INDEX(Assumptions!$C$52:$G$52,1,X$4)-IF(X$4=1,Assumptions!$H$52,INDEX(Assumptions!$C$52:$G$52,1,MAX(1,X$4-1))))*(X$5-(X$6+1)/2)/X$6)*X28</f>
        <v>6.625</v>
      </c>
      <c r="Y30" s="34">
        <f>(INDEX(Assumptions!$C$52:$G$52,1,Y$4)+(INDEX(Assumptions!$C$52:$G$52,1,Y$4)-IF(Y$4=1,Assumptions!$H$52,INDEX(Assumptions!$C$52:$G$52,1,MAX(1,Y$4-1))))*(Y$5-(Y$6+1)/2)/Y$6)*Y28</f>
        <v>6.875</v>
      </c>
      <c r="Z30" s="34">
        <f>(INDEX(Assumptions!$C$52:$G$52,1,Z$4)+(INDEX(Assumptions!$C$52:$G$52,1,Z$4)-IF(Z$4=1,Assumptions!$H$52,INDEX(Assumptions!$C$52:$G$52,1,MAX(1,Z$4-1))))*(Z$5-(Z$6+1)/2)/Z$6)*Z28</f>
        <v>7.125</v>
      </c>
      <c r="AA30" s="34">
        <f>(INDEX(Assumptions!$C$52:$G$52,1,AA$4)+(INDEX(Assumptions!$C$52:$G$52,1,AA$4)-IF(AA$4=1,Assumptions!$H$52,INDEX(Assumptions!$C$52:$G$52,1,MAX(1,AA$4-1))))*(AA$5-(AA$6+1)/2)/AA$6)*AA28</f>
        <v>7.375</v>
      </c>
      <c r="AB30" s="34">
        <f>(INDEX(Assumptions!$C$52:$G$52,1,AB$4)+(INDEX(Assumptions!$C$52:$G$52,1,AB$4)-IF(AB$4=1,Assumptions!$H$52,INDEX(Assumptions!$C$52:$G$52,1,MAX(1,AB$4-1))))*(AB$5-(AB$6+1)/2)/AB$6)*AB28</f>
        <v>7.625</v>
      </c>
      <c r="AC30" s="34">
        <f>(INDEX(Assumptions!$C$52:$G$52,1,AC$4)+(INDEX(Assumptions!$C$52:$G$52,1,AC$4)-IF(AC$4=1,Assumptions!$H$52,INDEX(Assumptions!$C$52:$G$52,1,MAX(1,AC$4-1))))*(AC$5-(AC$6+1)/2)/AC$6)*AC28</f>
        <v>7.875</v>
      </c>
      <c r="AD30" s="34">
        <f>(INDEX(Assumptions!$C$52:$G$52,1,AD$4)+(INDEX(Assumptions!$C$52:$G$52,1,AD$4)-IF(AD$4=1,Assumptions!$H$52,INDEX(Assumptions!$C$52:$G$52,1,MAX(1,AD$4-1))))*(AD$5-(AD$6+1)/2)/AD$6)*AD28</f>
        <v>8.125</v>
      </c>
      <c r="AE30" s="34">
        <f>(INDEX(Assumptions!$C$52:$G$52,1,AE$4)+(INDEX(Assumptions!$C$52:$G$52,1,AE$4)-IF(AE$4=1,Assumptions!$H$52,INDEX(Assumptions!$C$52:$G$52,1,MAX(1,AE$4-1))))*(AE$5-(AE$6+1)/2)/AE$6)*AE28</f>
        <v>8.375</v>
      </c>
      <c r="AF30" s="34">
        <f>(INDEX(Assumptions!$C$52:$G$52,1,AF$4)+(INDEX(Assumptions!$C$52:$G$52,1,AF$4)-IF(AF$4=1,Assumptions!$H$52,INDEX(Assumptions!$C$52:$G$52,1,MAX(1,AF$4-1))))*(AF$5-(AF$6+1)/2)/AF$6)*AF28</f>
        <v>8.083333333333334</v>
      </c>
      <c r="AG30" s="34">
        <f>(INDEX(Assumptions!$C$52:$G$52,1,AG$4)+(INDEX(Assumptions!$C$52:$G$52,1,AG$4)-IF(AG$4=1,Assumptions!$H$52,INDEX(Assumptions!$C$52:$G$52,1,MAX(1,AG$4-1))))*(AG$5-(AG$6+1)/2)/AG$6)*AG28</f>
        <v>8.25</v>
      </c>
      <c r="AH30" s="34">
        <f>(INDEX(Assumptions!$C$52:$G$52,1,AH$4)+(INDEX(Assumptions!$C$52:$G$52,1,AH$4)-IF(AH$4=1,Assumptions!$H$52,INDEX(Assumptions!$C$52:$G$52,1,MAX(1,AH$4-1))))*(AH$5-(AH$6+1)/2)/AH$6)*AH28</f>
        <v>8.416666666666666</v>
      </c>
      <c r="AI30" s="34">
        <f>(INDEX(Assumptions!$C$52:$G$52,1,AI$4)+(INDEX(Assumptions!$C$52:$G$52,1,AI$4)-IF(AI$4=1,Assumptions!$H$52,INDEX(Assumptions!$C$52:$G$52,1,MAX(1,AI$4-1))))*(AI$5-(AI$6+1)/2)/AI$6)*AI28</f>
        <v>8.583333333333334</v>
      </c>
      <c r="AJ30" s="34">
        <f>(INDEX(Assumptions!$C$52:$G$52,1,AJ$4)+(INDEX(Assumptions!$C$52:$G$52,1,AJ$4)-IF(AJ$4=1,Assumptions!$H$52,INDEX(Assumptions!$C$52:$G$52,1,MAX(1,AJ$4-1))))*(AJ$5-(AJ$6+1)/2)/AJ$6)*AJ28</f>
        <v>8.75</v>
      </c>
      <c r="AK30" s="34">
        <f>(INDEX(Assumptions!$C$52:$G$52,1,AK$4)+(INDEX(Assumptions!$C$52:$G$52,1,AK$4)-IF(AK$4=1,Assumptions!$H$52,INDEX(Assumptions!$C$52:$G$52,1,MAX(1,AK$4-1))))*(AK$5-(AK$6+1)/2)/AK$6)*AK28</f>
        <v>8.916666666666666</v>
      </c>
      <c r="AL30" s="34">
        <f>(INDEX(Assumptions!$C$52:$G$52,1,AL$4)+(INDEX(Assumptions!$C$52:$G$52,1,AL$4)-IF(AL$4=1,Assumptions!$H$52,INDEX(Assumptions!$C$52:$G$52,1,MAX(1,AL$4-1))))*(AL$5-(AL$6+1)/2)/AL$6)*AL28</f>
        <v>9.083333333333334</v>
      </c>
      <c r="AM30" s="34">
        <f>(INDEX(Assumptions!$C$52:$G$52,1,AM$4)+(INDEX(Assumptions!$C$52:$G$52,1,AM$4)-IF(AM$4=1,Assumptions!$H$52,INDEX(Assumptions!$C$52:$G$52,1,MAX(1,AM$4-1))))*(AM$5-(AM$6+1)/2)/AM$6)*AM28</f>
        <v>9.25</v>
      </c>
      <c r="AN30" s="34">
        <f>(INDEX(Assumptions!$C$52:$G$52,1,AN$4)+(INDEX(Assumptions!$C$52:$G$52,1,AN$4)-IF(AN$4=1,Assumptions!$H$52,INDEX(Assumptions!$C$52:$G$52,1,MAX(1,AN$4-1))))*(AN$5-(AN$6+1)/2)/AN$6)*AN28</f>
        <v>9.416666666666666</v>
      </c>
      <c r="AO30" s="34">
        <f>(INDEX(Assumptions!$C$52:$G$52,1,AO$4)+(INDEX(Assumptions!$C$52:$G$52,1,AO$4)-IF(AO$4=1,Assumptions!$H$52,INDEX(Assumptions!$C$52:$G$52,1,MAX(1,AO$4-1))))*(AO$5-(AO$6+1)/2)/AO$6)*AO28</f>
        <v>9.583333333333334</v>
      </c>
      <c r="AP30" s="34">
        <f>(INDEX(Assumptions!$C$52:$G$52,1,AP$4)+(INDEX(Assumptions!$C$52:$G$52,1,AP$4)-IF(AP$4=1,Assumptions!$H$52,INDEX(Assumptions!$C$52:$G$52,1,MAX(1,AP$4-1))))*(AP$5-(AP$6+1)/2)/AP$6)*AP28</f>
        <v>9.75</v>
      </c>
      <c r="AQ30" s="34">
        <f>(INDEX(Assumptions!$C$52:$G$52,1,AQ$4)+(INDEX(Assumptions!$C$52:$G$52,1,AQ$4)-IF(AQ$4=1,Assumptions!$H$52,INDEX(Assumptions!$C$52:$G$52,1,MAX(1,AQ$4-1))))*(AQ$5-(AQ$6+1)/2)/AQ$6)*AQ28</f>
        <v>9.916666666666666</v>
      </c>
      <c r="AR30" s="34">
        <f>(INDEX(Assumptions!$C$52:$G$52,1,AR$4)+(INDEX(Assumptions!$C$52:$G$52,1,AR$4)-IF(AR$4=1,Assumptions!$H$52,INDEX(Assumptions!$C$52:$G$52,1,MAX(1,AR$4-1))))*(AR$5-(AR$6+1)/2)/AR$6)*AR28</f>
        <v>10.083333333333334</v>
      </c>
      <c r="AS30" s="34">
        <f>(INDEX(Assumptions!$C$52:$G$52,1,AS$4)+(INDEX(Assumptions!$C$52:$G$52,1,AS$4)-IF(AS$4=1,Assumptions!$H$52,INDEX(Assumptions!$C$52:$G$52,1,MAX(1,AS$4-1))))*(AS$5-(AS$6+1)/2)/AS$6)*AS28</f>
        <v>10.25</v>
      </c>
      <c r="AT30" s="34">
        <f>(INDEX(Assumptions!$C$52:$G$52,1,AT$4)+(INDEX(Assumptions!$C$52:$G$52,1,AT$4)-IF(AT$4=1,Assumptions!$H$52,INDEX(Assumptions!$C$52:$G$52,1,MAX(1,AT$4-1))))*(AT$5-(AT$6+1)/2)/AT$6)*AT28</f>
        <v>10.416666666666666</v>
      </c>
      <c r="AU30" s="34">
        <f>(INDEX(Assumptions!$C$52:$G$52,1,AU$4)+(INDEX(Assumptions!$C$52:$G$52,1,AU$4)-IF(AU$4=1,Assumptions!$H$52,INDEX(Assumptions!$C$52:$G$52,1,MAX(1,AU$4-1))))*(AU$5-(AU$6+1)/2)/AU$6)*AU28</f>
        <v>10.583333333333334</v>
      </c>
      <c r="AV30" s="34">
        <f>(INDEX(Assumptions!$C$52:$G$52,1,AV$4)+(INDEX(Assumptions!$C$52:$G$52,1,AV$4)-IF(AV$4=1,Assumptions!$H$52,INDEX(Assumptions!$C$52:$G$52,1,MAX(1,AV$4-1))))*(AV$5-(AV$6+1)/2)/AV$6)*AV28</f>
        <v>10.75</v>
      </c>
      <c r="AW30" s="34">
        <f>(INDEX(Assumptions!$C$52:$G$52,1,AW$4)+(INDEX(Assumptions!$C$52:$G$52,1,AW$4)-IF(AW$4=1,Assumptions!$H$52,INDEX(Assumptions!$C$52:$G$52,1,MAX(1,AW$4-1))))*(AW$5-(AW$6+1)/2)/AW$6)*AW28</f>
        <v>10.916666666666666</v>
      </c>
      <c r="AX30" s="34">
        <f>(INDEX(Assumptions!$C$52:$G$52,1,AX$4)+(INDEX(Assumptions!$C$52:$G$52,1,AX$4)-IF(AX$4=1,Assumptions!$H$52,INDEX(Assumptions!$C$52:$G$52,1,MAX(1,AX$4-1))))*(AX$5-(AX$6+1)/2)/AX$6)*AX28</f>
        <v>11.083333333333334</v>
      </c>
      <c r="AY30" s="34">
        <f>(INDEX(Assumptions!$C$52:$G$52,1,AY$4)+(INDEX(Assumptions!$C$52:$G$52,1,AY$4)-IF(AY$4=1,Assumptions!$H$52,INDEX(Assumptions!$C$52:$G$52,1,MAX(1,AY$4-1))))*(AY$5-(AY$6+1)/2)/AY$6)*AY28</f>
        <v>11.25</v>
      </c>
      <c r="AZ30" s="34">
        <f>(INDEX(Assumptions!$C$52:$G$52,1,AZ$4)+(INDEX(Assumptions!$C$52:$G$52,1,AZ$4)-IF(AZ$4=1,Assumptions!$H$52,INDEX(Assumptions!$C$52:$G$52,1,MAX(1,AZ$4-1))))*(AZ$5-(AZ$6+1)/2)/AZ$6)*AZ28</f>
        <v>11.416666666666666</v>
      </c>
      <c r="BA30" s="34">
        <f>(INDEX(Assumptions!$C$52:$G$52,1,BA$4)+(INDEX(Assumptions!$C$52:$G$52,1,BA$4)-IF(BA$4=1,Assumptions!$H$52,INDEX(Assumptions!$C$52:$G$52,1,MAX(1,BA$4-1))))*(BA$5-(BA$6+1)/2)/BA$6)*BA28</f>
        <v>11.583333333333334</v>
      </c>
      <c r="BB30" s="34">
        <f>(INDEX(Assumptions!$C$52:$G$52,1,BB$4)+(INDEX(Assumptions!$C$52:$G$52,1,BB$4)-IF(BB$4=1,Assumptions!$H$52,INDEX(Assumptions!$C$52:$G$52,1,MAX(1,BB$4-1))))*(BB$5-(BB$6+1)/2)/BB$6)*BB28</f>
        <v>11.75</v>
      </c>
      <c r="BC30" s="34">
        <f>(INDEX(Assumptions!$C$52:$G$52,1,BC$4)+(INDEX(Assumptions!$C$52:$G$52,1,BC$4)-IF(BC$4=1,Assumptions!$H$52,INDEX(Assumptions!$C$52:$G$52,1,MAX(1,BC$4-1))))*(BC$5-(BC$6+1)/2)/BC$6)*BC28</f>
        <v>11.916666666666666</v>
      </c>
    </row>
    <row r="31">
      <c r="A31" s="4" t="inlineStr">
        <is>
          <t>Heads: Installer network &amp; partnerships</t>
        </is>
      </c>
      <c r="B31" s="2" t="inlineStr">
        <is>
          <t>people (ramp)</t>
        </is>
      </c>
      <c r="C31" s="34">
        <f>(INDEX(Assumptions!$C$53:$G$53,1,C$4)+(INDEX(Assumptions!$C$53:$G$53,1,C$4)-IF(C$4=1,Assumptions!$H$53,INDEX(Assumptions!$C$53:$G$53,1,MAX(1,C$4-1))))*(C$5-(C$6+1)/2)/C$6)*C28</f>
        <v>1.2</v>
      </c>
      <c r="D31" s="34">
        <f>(INDEX(Assumptions!$C$53:$G$53,1,D$4)+(INDEX(Assumptions!$C$53:$G$53,1,D$4)-IF(D$4=1,Assumptions!$H$53,INDEX(Assumptions!$C$53:$G$53,1,MAX(1,D$4-1))))*(D$5-(D$6+1)/2)/D$6)*D28</f>
        <v>1.6</v>
      </c>
      <c r="E31" s="34">
        <f>(INDEX(Assumptions!$C$53:$G$53,1,E$4)+(INDEX(Assumptions!$C$53:$G$53,1,E$4)-IF(E$4=1,Assumptions!$H$53,INDEX(Assumptions!$C$53:$G$53,1,MAX(1,E$4-1))))*(E$5-(E$6+1)/2)/E$6)*E28</f>
        <v>2.0</v>
      </c>
      <c r="F31" s="34">
        <f>(INDEX(Assumptions!$C$53:$G$53,1,F$4)+(INDEX(Assumptions!$C$53:$G$53,1,F$4)-IF(F$4=1,Assumptions!$H$53,INDEX(Assumptions!$C$53:$G$53,1,MAX(1,F$4-1))))*(F$5-(F$6+1)/2)/F$6)*F28</f>
        <v>2.4</v>
      </c>
      <c r="G31" s="34">
        <f>(INDEX(Assumptions!$C$53:$G$53,1,G$4)+(INDEX(Assumptions!$C$53:$G$53,1,G$4)-IF(G$4=1,Assumptions!$H$53,INDEX(Assumptions!$C$53:$G$53,1,MAX(1,G$4-1))))*(G$5-(G$6+1)/2)/G$6)*G28</f>
        <v>2.8</v>
      </c>
      <c r="H31" s="34">
        <f>(INDEX(Assumptions!$C$53:$G$53,1,H$4)+(INDEX(Assumptions!$C$53:$G$53,1,H$4)-IF(H$4=1,Assumptions!$H$53,INDEX(Assumptions!$C$53:$G$53,1,MAX(1,H$4-1))))*(H$5-(H$6+1)/2)/H$6)*H28</f>
        <v>3.625</v>
      </c>
      <c r="I31" s="34">
        <f>(INDEX(Assumptions!$C$53:$G$53,1,I$4)+(INDEX(Assumptions!$C$53:$G$53,1,I$4)-IF(I$4=1,Assumptions!$H$53,INDEX(Assumptions!$C$53:$G$53,1,MAX(1,I$4-1))))*(I$5-(I$6+1)/2)/I$6)*I28</f>
        <v>3.875</v>
      </c>
      <c r="J31" s="34">
        <f>(INDEX(Assumptions!$C$53:$G$53,1,J$4)+(INDEX(Assumptions!$C$53:$G$53,1,J$4)-IF(J$4=1,Assumptions!$H$53,INDEX(Assumptions!$C$53:$G$53,1,MAX(1,J$4-1))))*(J$5-(J$6+1)/2)/J$6)*J28</f>
        <v>4.125</v>
      </c>
      <c r="K31" s="34">
        <f>(INDEX(Assumptions!$C$53:$G$53,1,K$4)+(INDEX(Assumptions!$C$53:$G$53,1,K$4)-IF(K$4=1,Assumptions!$H$53,INDEX(Assumptions!$C$53:$G$53,1,MAX(1,K$4-1))))*(K$5-(K$6+1)/2)/K$6)*K28</f>
        <v>4.375</v>
      </c>
      <c r="L31" s="34">
        <f>(INDEX(Assumptions!$C$53:$G$53,1,L$4)+(INDEX(Assumptions!$C$53:$G$53,1,L$4)-IF(L$4=1,Assumptions!$H$53,INDEX(Assumptions!$C$53:$G$53,1,MAX(1,L$4-1))))*(L$5-(L$6+1)/2)/L$6)*L28</f>
        <v>4.625</v>
      </c>
      <c r="M31" s="34">
        <f>(INDEX(Assumptions!$C$53:$G$53,1,M$4)+(INDEX(Assumptions!$C$53:$G$53,1,M$4)-IF(M$4=1,Assumptions!$H$53,INDEX(Assumptions!$C$53:$G$53,1,MAX(1,M$4-1))))*(M$5-(M$6+1)/2)/M$6)*M28</f>
        <v>4.875</v>
      </c>
      <c r="N31" s="34">
        <f>(INDEX(Assumptions!$C$53:$G$53,1,N$4)+(INDEX(Assumptions!$C$53:$G$53,1,N$4)-IF(N$4=1,Assumptions!$H$53,INDEX(Assumptions!$C$53:$G$53,1,MAX(1,N$4-1))))*(N$5-(N$6+1)/2)/N$6)*N28</f>
        <v>5.125</v>
      </c>
      <c r="O31" s="34">
        <f>(INDEX(Assumptions!$C$53:$G$53,1,O$4)+(INDEX(Assumptions!$C$53:$G$53,1,O$4)-IF(O$4=1,Assumptions!$H$53,INDEX(Assumptions!$C$53:$G$53,1,MAX(1,O$4-1))))*(O$5-(O$6+1)/2)/O$6)*O28</f>
        <v>5.375</v>
      </c>
      <c r="P31" s="34">
        <f>(INDEX(Assumptions!$C$53:$G$53,1,P$4)+(INDEX(Assumptions!$C$53:$G$53,1,P$4)-IF(P$4=1,Assumptions!$H$53,INDEX(Assumptions!$C$53:$G$53,1,MAX(1,P$4-1))))*(P$5-(P$6+1)/2)/P$6)*P28</f>
        <v>5.625</v>
      </c>
      <c r="Q31" s="34">
        <f>(INDEX(Assumptions!$C$53:$G$53,1,Q$4)+(INDEX(Assumptions!$C$53:$G$53,1,Q$4)-IF(Q$4=1,Assumptions!$H$53,INDEX(Assumptions!$C$53:$G$53,1,MAX(1,Q$4-1))))*(Q$5-(Q$6+1)/2)/Q$6)*Q28</f>
        <v>5.875</v>
      </c>
      <c r="R31" s="34">
        <f>(INDEX(Assumptions!$C$53:$G$53,1,R$4)+(INDEX(Assumptions!$C$53:$G$53,1,R$4)-IF(R$4=1,Assumptions!$H$53,INDEX(Assumptions!$C$53:$G$53,1,MAX(1,R$4-1))))*(R$5-(R$6+1)/2)/R$6)*R28</f>
        <v>6.125</v>
      </c>
      <c r="S31" s="34">
        <f>(INDEX(Assumptions!$C$53:$G$53,1,S$4)+(INDEX(Assumptions!$C$53:$G$53,1,S$4)-IF(S$4=1,Assumptions!$H$53,INDEX(Assumptions!$C$53:$G$53,1,MAX(1,S$4-1))))*(S$5-(S$6+1)/2)/S$6)*S28</f>
        <v>6.375</v>
      </c>
      <c r="T31" s="34">
        <f>(INDEX(Assumptions!$C$53:$G$53,1,T$4)+(INDEX(Assumptions!$C$53:$G$53,1,T$4)-IF(T$4=1,Assumptions!$H$53,INDEX(Assumptions!$C$53:$G$53,1,MAX(1,T$4-1))))*(T$5-(T$6+1)/2)/T$6)*T28</f>
        <v>7.166666666666667</v>
      </c>
      <c r="U31" s="34">
        <f>(INDEX(Assumptions!$C$53:$G$53,1,U$4)+(INDEX(Assumptions!$C$53:$G$53,1,U$4)-IF(U$4=1,Assumptions!$H$53,INDEX(Assumptions!$C$53:$G$53,1,MAX(1,U$4-1))))*(U$5-(U$6+1)/2)/U$6)*U28</f>
        <v>7.5</v>
      </c>
      <c r="V31" s="34">
        <f>(INDEX(Assumptions!$C$53:$G$53,1,V$4)+(INDEX(Assumptions!$C$53:$G$53,1,V$4)-IF(V$4=1,Assumptions!$H$53,INDEX(Assumptions!$C$53:$G$53,1,MAX(1,V$4-1))))*(V$5-(V$6+1)/2)/V$6)*V28</f>
        <v>7.833333333333333</v>
      </c>
      <c r="W31" s="34">
        <f>(INDEX(Assumptions!$C$53:$G$53,1,W$4)+(INDEX(Assumptions!$C$53:$G$53,1,W$4)-IF(W$4=1,Assumptions!$H$53,INDEX(Assumptions!$C$53:$G$53,1,MAX(1,W$4-1))))*(W$5-(W$6+1)/2)/W$6)*W28</f>
        <v>8.166666666666666</v>
      </c>
      <c r="X31" s="34">
        <f>(INDEX(Assumptions!$C$53:$G$53,1,X$4)+(INDEX(Assumptions!$C$53:$G$53,1,X$4)-IF(X$4=1,Assumptions!$H$53,INDEX(Assumptions!$C$53:$G$53,1,MAX(1,X$4-1))))*(X$5-(X$6+1)/2)/X$6)*X28</f>
        <v>8.5</v>
      </c>
      <c r="Y31" s="34">
        <f>(INDEX(Assumptions!$C$53:$G$53,1,Y$4)+(INDEX(Assumptions!$C$53:$G$53,1,Y$4)-IF(Y$4=1,Assumptions!$H$53,INDEX(Assumptions!$C$53:$G$53,1,MAX(1,Y$4-1))))*(Y$5-(Y$6+1)/2)/Y$6)*Y28</f>
        <v>8.833333333333334</v>
      </c>
      <c r="Z31" s="34">
        <f>(INDEX(Assumptions!$C$53:$G$53,1,Z$4)+(INDEX(Assumptions!$C$53:$G$53,1,Z$4)-IF(Z$4=1,Assumptions!$H$53,INDEX(Assumptions!$C$53:$G$53,1,MAX(1,Z$4-1))))*(Z$5-(Z$6+1)/2)/Z$6)*Z28</f>
        <v>9.166666666666666</v>
      </c>
      <c r="AA31" s="34">
        <f>(INDEX(Assumptions!$C$53:$G$53,1,AA$4)+(INDEX(Assumptions!$C$53:$G$53,1,AA$4)-IF(AA$4=1,Assumptions!$H$53,INDEX(Assumptions!$C$53:$G$53,1,MAX(1,AA$4-1))))*(AA$5-(AA$6+1)/2)/AA$6)*AA28</f>
        <v>9.5</v>
      </c>
      <c r="AB31" s="34">
        <f>(INDEX(Assumptions!$C$53:$G$53,1,AB$4)+(INDEX(Assumptions!$C$53:$G$53,1,AB$4)-IF(AB$4=1,Assumptions!$H$53,INDEX(Assumptions!$C$53:$G$53,1,MAX(1,AB$4-1))))*(AB$5-(AB$6+1)/2)/AB$6)*AB28</f>
        <v>9.833333333333334</v>
      </c>
      <c r="AC31" s="34">
        <f>(INDEX(Assumptions!$C$53:$G$53,1,AC$4)+(INDEX(Assumptions!$C$53:$G$53,1,AC$4)-IF(AC$4=1,Assumptions!$H$53,INDEX(Assumptions!$C$53:$G$53,1,MAX(1,AC$4-1))))*(AC$5-(AC$6+1)/2)/AC$6)*AC28</f>
        <v>10.166666666666666</v>
      </c>
      <c r="AD31" s="34">
        <f>(INDEX(Assumptions!$C$53:$G$53,1,AD$4)+(INDEX(Assumptions!$C$53:$G$53,1,AD$4)-IF(AD$4=1,Assumptions!$H$53,INDEX(Assumptions!$C$53:$G$53,1,MAX(1,AD$4-1))))*(AD$5-(AD$6+1)/2)/AD$6)*AD28</f>
        <v>10.5</v>
      </c>
      <c r="AE31" s="34">
        <f>(INDEX(Assumptions!$C$53:$G$53,1,AE$4)+(INDEX(Assumptions!$C$53:$G$53,1,AE$4)-IF(AE$4=1,Assumptions!$H$53,INDEX(Assumptions!$C$53:$G$53,1,MAX(1,AE$4-1))))*(AE$5-(AE$6+1)/2)/AE$6)*AE28</f>
        <v>10.833333333333334</v>
      </c>
      <c r="AF31" s="34">
        <f>(INDEX(Assumptions!$C$53:$G$53,1,AF$4)+(INDEX(Assumptions!$C$53:$G$53,1,AF$4)-IF(AF$4=1,Assumptions!$H$53,INDEX(Assumptions!$C$53:$G$53,1,MAX(1,AF$4-1))))*(AF$5-(AF$6+1)/2)/AF$6)*AF28</f>
        <v>10.625</v>
      </c>
      <c r="AG31" s="34">
        <f>(INDEX(Assumptions!$C$53:$G$53,1,AG$4)+(INDEX(Assumptions!$C$53:$G$53,1,AG$4)-IF(AG$4=1,Assumptions!$H$53,INDEX(Assumptions!$C$53:$G$53,1,MAX(1,AG$4-1))))*(AG$5-(AG$6+1)/2)/AG$6)*AG28</f>
        <v>10.875</v>
      </c>
      <c r="AH31" s="34">
        <f>(INDEX(Assumptions!$C$53:$G$53,1,AH$4)+(INDEX(Assumptions!$C$53:$G$53,1,AH$4)-IF(AH$4=1,Assumptions!$H$53,INDEX(Assumptions!$C$53:$G$53,1,MAX(1,AH$4-1))))*(AH$5-(AH$6+1)/2)/AH$6)*AH28</f>
        <v>11.125</v>
      </c>
      <c r="AI31" s="34">
        <f>(INDEX(Assumptions!$C$53:$G$53,1,AI$4)+(INDEX(Assumptions!$C$53:$G$53,1,AI$4)-IF(AI$4=1,Assumptions!$H$53,INDEX(Assumptions!$C$53:$G$53,1,MAX(1,AI$4-1))))*(AI$5-(AI$6+1)/2)/AI$6)*AI28</f>
        <v>11.375</v>
      </c>
      <c r="AJ31" s="34">
        <f>(INDEX(Assumptions!$C$53:$G$53,1,AJ$4)+(INDEX(Assumptions!$C$53:$G$53,1,AJ$4)-IF(AJ$4=1,Assumptions!$H$53,INDEX(Assumptions!$C$53:$G$53,1,MAX(1,AJ$4-1))))*(AJ$5-(AJ$6+1)/2)/AJ$6)*AJ28</f>
        <v>11.625</v>
      </c>
      <c r="AK31" s="34">
        <f>(INDEX(Assumptions!$C$53:$G$53,1,AK$4)+(INDEX(Assumptions!$C$53:$G$53,1,AK$4)-IF(AK$4=1,Assumptions!$H$53,INDEX(Assumptions!$C$53:$G$53,1,MAX(1,AK$4-1))))*(AK$5-(AK$6+1)/2)/AK$6)*AK28</f>
        <v>11.875</v>
      </c>
      <c r="AL31" s="34">
        <f>(INDEX(Assumptions!$C$53:$G$53,1,AL$4)+(INDEX(Assumptions!$C$53:$G$53,1,AL$4)-IF(AL$4=1,Assumptions!$H$53,INDEX(Assumptions!$C$53:$G$53,1,MAX(1,AL$4-1))))*(AL$5-(AL$6+1)/2)/AL$6)*AL28</f>
        <v>12.125</v>
      </c>
      <c r="AM31" s="34">
        <f>(INDEX(Assumptions!$C$53:$G$53,1,AM$4)+(INDEX(Assumptions!$C$53:$G$53,1,AM$4)-IF(AM$4=1,Assumptions!$H$53,INDEX(Assumptions!$C$53:$G$53,1,MAX(1,AM$4-1))))*(AM$5-(AM$6+1)/2)/AM$6)*AM28</f>
        <v>12.375</v>
      </c>
      <c r="AN31" s="34">
        <f>(INDEX(Assumptions!$C$53:$G$53,1,AN$4)+(INDEX(Assumptions!$C$53:$G$53,1,AN$4)-IF(AN$4=1,Assumptions!$H$53,INDEX(Assumptions!$C$53:$G$53,1,MAX(1,AN$4-1))))*(AN$5-(AN$6+1)/2)/AN$6)*AN28</f>
        <v>12.625</v>
      </c>
      <c r="AO31" s="34">
        <f>(INDEX(Assumptions!$C$53:$G$53,1,AO$4)+(INDEX(Assumptions!$C$53:$G$53,1,AO$4)-IF(AO$4=1,Assumptions!$H$53,INDEX(Assumptions!$C$53:$G$53,1,MAX(1,AO$4-1))))*(AO$5-(AO$6+1)/2)/AO$6)*AO28</f>
        <v>12.875</v>
      </c>
      <c r="AP31" s="34">
        <f>(INDEX(Assumptions!$C$53:$G$53,1,AP$4)+(INDEX(Assumptions!$C$53:$G$53,1,AP$4)-IF(AP$4=1,Assumptions!$H$53,INDEX(Assumptions!$C$53:$G$53,1,MAX(1,AP$4-1))))*(AP$5-(AP$6+1)/2)/AP$6)*AP28</f>
        <v>13.125</v>
      </c>
      <c r="AQ31" s="34">
        <f>(INDEX(Assumptions!$C$53:$G$53,1,AQ$4)+(INDEX(Assumptions!$C$53:$G$53,1,AQ$4)-IF(AQ$4=1,Assumptions!$H$53,INDEX(Assumptions!$C$53:$G$53,1,MAX(1,AQ$4-1))))*(AQ$5-(AQ$6+1)/2)/AQ$6)*AQ28</f>
        <v>13.375</v>
      </c>
      <c r="AR31" s="34">
        <f>(INDEX(Assumptions!$C$53:$G$53,1,AR$4)+(INDEX(Assumptions!$C$53:$G$53,1,AR$4)-IF(AR$4=1,Assumptions!$H$53,INDEX(Assumptions!$C$53:$G$53,1,MAX(1,AR$4-1))))*(AR$5-(AR$6+1)/2)/AR$6)*AR28</f>
        <v>13.625</v>
      </c>
      <c r="AS31" s="34">
        <f>(INDEX(Assumptions!$C$53:$G$53,1,AS$4)+(INDEX(Assumptions!$C$53:$G$53,1,AS$4)-IF(AS$4=1,Assumptions!$H$53,INDEX(Assumptions!$C$53:$G$53,1,MAX(1,AS$4-1))))*(AS$5-(AS$6+1)/2)/AS$6)*AS28</f>
        <v>13.875</v>
      </c>
      <c r="AT31" s="34">
        <f>(INDEX(Assumptions!$C$53:$G$53,1,AT$4)+(INDEX(Assumptions!$C$53:$G$53,1,AT$4)-IF(AT$4=1,Assumptions!$H$53,INDEX(Assumptions!$C$53:$G$53,1,MAX(1,AT$4-1))))*(AT$5-(AT$6+1)/2)/AT$6)*AT28</f>
        <v>14.125</v>
      </c>
      <c r="AU31" s="34">
        <f>(INDEX(Assumptions!$C$53:$G$53,1,AU$4)+(INDEX(Assumptions!$C$53:$G$53,1,AU$4)-IF(AU$4=1,Assumptions!$H$53,INDEX(Assumptions!$C$53:$G$53,1,MAX(1,AU$4-1))))*(AU$5-(AU$6+1)/2)/AU$6)*AU28</f>
        <v>14.375</v>
      </c>
      <c r="AV31" s="34">
        <f>(INDEX(Assumptions!$C$53:$G$53,1,AV$4)+(INDEX(Assumptions!$C$53:$G$53,1,AV$4)-IF(AV$4=1,Assumptions!$H$53,INDEX(Assumptions!$C$53:$G$53,1,MAX(1,AV$4-1))))*(AV$5-(AV$6+1)/2)/AV$6)*AV28</f>
        <v>14.625</v>
      </c>
      <c r="AW31" s="34">
        <f>(INDEX(Assumptions!$C$53:$G$53,1,AW$4)+(INDEX(Assumptions!$C$53:$G$53,1,AW$4)-IF(AW$4=1,Assumptions!$H$53,INDEX(Assumptions!$C$53:$G$53,1,MAX(1,AW$4-1))))*(AW$5-(AW$6+1)/2)/AW$6)*AW28</f>
        <v>14.875</v>
      </c>
      <c r="AX31" s="34">
        <f>(INDEX(Assumptions!$C$53:$G$53,1,AX$4)+(INDEX(Assumptions!$C$53:$G$53,1,AX$4)-IF(AX$4=1,Assumptions!$H$53,INDEX(Assumptions!$C$53:$G$53,1,MAX(1,AX$4-1))))*(AX$5-(AX$6+1)/2)/AX$6)*AX28</f>
        <v>15.125</v>
      </c>
      <c r="AY31" s="34">
        <f>(INDEX(Assumptions!$C$53:$G$53,1,AY$4)+(INDEX(Assumptions!$C$53:$G$53,1,AY$4)-IF(AY$4=1,Assumptions!$H$53,INDEX(Assumptions!$C$53:$G$53,1,MAX(1,AY$4-1))))*(AY$5-(AY$6+1)/2)/AY$6)*AY28</f>
        <v>15.375</v>
      </c>
      <c r="AZ31" s="34">
        <f>(INDEX(Assumptions!$C$53:$G$53,1,AZ$4)+(INDEX(Assumptions!$C$53:$G$53,1,AZ$4)-IF(AZ$4=1,Assumptions!$H$53,INDEX(Assumptions!$C$53:$G$53,1,MAX(1,AZ$4-1))))*(AZ$5-(AZ$6+1)/2)/AZ$6)*AZ28</f>
        <v>15.625</v>
      </c>
      <c r="BA31" s="34">
        <f>(INDEX(Assumptions!$C$53:$G$53,1,BA$4)+(INDEX(Assumptions!$C$53:$G$53,1,BA$4)-IF(BA$4=1,Assumptions!$H$53,INDEX(Assumptions!$C$53:$G$53,1,MAX(1,BA$4-1))))*(BA$5-(BA$6+1)/2)/BA$6)*BA28</f>
        <v>15.875</v>
      </c>
      <c r="BB31" s="34">
        <f>(INDEX(Assumptions!$C$53:$G$53,1,BB$4)+(INDEX(Assumptions!$C$53:$G$53,1,BB$4)-IF(BB$4=1,Assumptions!$H$53,INDEX(Assumptions!$C$53:$G$53,1,MAX(1,BB$4-1))))*(BB$5-(BB$6+1)/2)/BB$6)*BB28</f>
        <v>16.125</v>
      </c>
      <c r="BC31" s="34">
        <f>(INDEX(Assumptions!$C$53:$G$53,1,BC$4)+(INDEX(Assumptions!$C$53:$G$53,1,BC$4)-IF(BC$4=1,Assumptions!$H$53,INDEX(Assumptions!$C$53:$G$53,1,MAX(1,BC$4-1))))*(BC$5-(BC$6+1)/2)/BC$6)*BC28</f>
        <v>16.375</v>
      </c>
    </row>
    <row r="32">
      <c r="A32" s="4" t="inlineStr">
        <is>
          <t>Heads: Customer &amp; installer support</t>
        </is>
      </c>
      <c r="B32" s="2" t="inlineStr">
        <is>
          <t>people (ramp)</t>
        </is>
      </c>
      <c r="C32" s="34">
        <f>(INDEX(Assumptions!$C$54:$G$54,1,C$4)+(INDEX(Assumptions!$C$54:$G$54,1,C$4)-IF(C$4=1,Assumptions!$H$54,INDEX(Assumptions!$C$54:$G$54,1,MAX(1,C$4-1))))*(C$5-(C$6+1)/2)/C$6)*C28</f>
        <v>0.6</v>
      </c>
      <c r="D32" s="34">
        <f>(INDEX(Assumptions!$C$54:$G$54,1,D$4)+(INDEX(Assumptions!$C$54:$G$54,1,D$4)-IF(D$4=1,Assumptions!$H$54,INDEX(Assumptions!$C$54:$G$54,1,MAX(1,D$4-1))))*(D$5-(D$6+1)/2)/D$6)*D28</f>
        <v>0.8</v>
      </c>
      <c r="E32" s="34">
        <f>(INDEX(Assumptions!$C$54:$G$54,1,E$4)+(INDEX(Assumptions!$C$54:$G$54,1,E$4)-IF(E$4=1,Assumptions!$H$54,INDEX(Assumptions!$C$54:$G$54,1,MAX(1,E$4-1))))*(E$5-(E$6+1)/2)/E$6)*E28</f>
        <v>1.0</v>
      </c>
      <c r="F32" s="34">
        <f>(INDEX(Assumptions!$C$54:$G$54,1,F$4)+(INDEX(Assumptions!$C$54:$G$54,1,F$4)-IF(F$4=1,Assumptions!$H$54,INDEX(Assumptions!$C$54:$G$54,1,MAX(1,F$4-1))))*(F$5-(F$6+1)/2)/F$6)*F28</f>
        <v>1.2</v>
      </c>
      <c r="G32" s="34">
        <f>(INDEX(Assumptions!$C$54:$G$54,1,G$4)+(INDEX(Assumptions!$C$54:$G$54,1,G$4)-IF(G$4=1,Assumptions!$H$54,INDEX(Assumptions!$C$54:$G$54,1,MAX(1,G$4-1))))*(G$5-(G$6+1)/2)/G$6)*G28</f>
        <v>1.4</v>
      </c>
      <c r="H32" s="34">
        <f>(INDEX(Assumptions!$C$54:$G$54,1,H$4)+(INDEX(Assumptions!$C$54:$G$54,1,H$4)-IF(H$4=1,Assumptions!$H$54,INDEX(Assumptions!$C$54:$G$54,1,MAX(1,H$4-1))))*(H$5-(H$6+1)/2)/H$6)*H28</f>
        <v>2.0833333333333335</v>
      </c>
      <c r="I32" s="34">
        <f>(INDEX(Assumptions!$C$54:$G$54,1,I$4)+(INDEX(Assumptions!$C$54:$G$54,1,I$4)-IF(I$4=1,Assumptions!$H$54,INDEX(Assumptions!$C$54:$G$54,1,MAX(1,I$4-1))))*(I$5-(I$6+1)/2)/I$6)*I28</f>
        <v>2.25</v>
      </c>
      <c r="J32" s="34">
        <f>(INDEX(Assumptions!$C$54:$G$54,1,J$4)+(INDEX(Assumptions!$C$54:$G$54,1,J$4)-IF(J$4=1,Assumptions!$H$54,INDEX(Assumptions!$C$54:$G$54,1,MAX(1,J$4-1))))*(J$5-(J$6+1)/2)/J$6)*J28</f>
        <v>2.4166666666666665</v>
      </c>
      <c r="K32" s="34">
        <f>(INDEX(Assumptions!$C$54:$G$54,1,K$4)+(INDEX(Assumptions!$C$54:$G$54,1,K$4)-IF(K$4=1,Assumptions!$H$54,INDEX(Assumptions!$C$54:$G$54,1,MAX(1,K$4-1))))*(K$5-(K$6+1)/2)/K$6)*K28</f>
        <v>2.5833333333333335</v>
      </c>
      <c r="L32" s="34">
        <f>(INDEX(Assumptions!$C$54:$G$54,1,L$4)+(INDEX(Assumptions!$C$54:$G$54,1,L$4)-IF(L$4=1,Assumptions!$H$54,INDEX(Assumptions!$C$54:$G$54,1,MAX(1,L$4-1))))*(L$5-(L$6+1)/2)/L$6)*L28</f>
        <v>2.75</v>
      </c>
      <c r="M32" s="34">
        <f>(INDEX(Assumptions!$C$54:$G$54,1,M$4)+(INDEX(Assumptions!$C$54:$G$54,1,M$4)-IF(M$4=1,Assumptions!$H$54,INDEX(Assumptions!$C$54:$G$54,1,MAX(1,M$4-1))))*(M$5-(M$6+1)/2)/M$6)*M28</f>
        <v>2.9166666666666665</v>
      </c>
      <c r="N32" s="34">
        <f>(INDEX(Assumptions!$C$54:$G$54,1,N$4)+(INDEX(Assumptions!$C$54:$G$54,1,N$4)-IF(N$4=1,Assumptions!$H$54,INDEX(Assumptions!$C$54:$G$54,1,MAX(1,N$4-1))))*(N$5-(N$6+1)/2)/N$6)*N28</f>
        <v>3.0833333333333335</v>
      </c>
      <c r="O32" s="34">
        <f>(INDEX(Assumptions!$C$54:$G$54,1,O$4)+(INDEX(Assumptions!$C$54:$G$54,1,O$4)-IF(O$4=1,Assumptions!$H$54,INDEX(Assumptions!$C$54:$G$54,1,MAX(1,O$4-1))))*(O$5-(O$6+1)/2)/O$6)*O28</f>
        <v>3.25</v>
      </c>
      <c r="P32" s="34">
        <f>(INDEX(Assumptions!$C$54:$G$54,1,P$4)+(INDEX(Assumptions!$C$54:$G$54,1,P$4)-IF(P$4=1,Assumptions!$H$54,INDEX(Assumptions!$C$54:$G$54,1,MAX(1,P$4-1))))*(P$5-(P$6+1)/2)/P$6)*P28</f>
        <v>3.4166666666666665</v>
      </c>
      <c r="Q32" s="34">
        <f>(INDEX(Assumptions!$C$54:$G$54,1,Q$4)+(INDEX(Assumptions!$C$54:$G$54,1,Q$4)-IF(Q$4=1,Assumptions!$H$54,INDEX(Assumptions!$C$54:$G$54,1,MAX(1,Q$4-1))))*(Q$5-(Q$6+1)/2)/Q$6)*Q28</f>
        <v>3.5833333333333335</v>
      </c>
      <c r="R32" s="34">
        <f>(INDEX(Assumptions!$C$54:$G$54,1,R$4)+(INDEX(Assumptions!$C$54:$G$54,1,R$4)-IF(R$4=1,Assumptions!$H$54,INDEX(Assumptions!$C$54:$G$54,1,MAX(1,R$4-1))))*(R$5-(R$6+1)/2)/R$6)*R28</f>
        <v>3.75</v>
      </c>
      <c r="S32" s="34">
        <f>(INDEX(Assumptions!$C$54:$G$54,1,S$4)+(INDEX(Assumptions!$C$54:$G$54,1,S$4)-IF(S$4=1,Assumptions!$H$54,INDEX(Assumptions!$C$54:$G$54,1,MAX(1,S$4-1))))*(S$5-(S$6+1)/2)/S$6)*S28</f>
        <v>3.9166666666666665</v>
      </c>
      <c r="T32" s="34">
        <f>(INDEX(Assumptions!$C$54:$G$54,1,T$4)+(INDEX(Assumptions!$C$54:$G$54,1,T$4)-IF(T$4=1,Assumptions!$H$54,INDEX(Assumptions!$C$54:$G$54,1,MAX(1,T$4-1))))*(T$5-(T$6+1)/2)/T$6)*T28</f>
        <v>4.625</v>
      </c>
      <c r="U32" s="34">
        <f>(INDEX(Assumptions!$C$54:$G$54,1,U$4)+(INDEX(Assumptions!$C$54:$G$54,1,U$4)-IF(U$4=1,Assumptions!$H$54,INDEX(Assumptions!$C$54:$G$54,1,MAX(1,U$4-1))))*(U$5-(U$6+1)/2)/U$6)*U28</f>
        <v>4.875</v>
      </c>
      <c r="V32" s="34">
        <f>(INDEX(Assumptions!$C$54:$G$54,1,V$4)+(INDEX(Assumptions!$C$54:$G$54,1,V$4)-IF(V$4=1,Assumptions!$H$54,INDEX(Assumptions!$C$54:$G$54,1,MAX(1,V$4-1))))*(V$5-(V$6+1)/2)/V$6)*V28</f>
        <v>5.125</v>
      </c>
      <c r="W32" s="34">
        <f>(INDEX(Assumptions!$C$54:$G$54,1,W$4)+(INDEX(Assumptions!$C$54:$G$54,1,W$4)-IF(W$4=1,Assumptions!$H$54,INDEX(Assumptions!$C$54:$G$54,1,MAX(1,W$4-1))))*(W$5-(W$6+1)/2)/W$6)*W28</f>
        <v>5.375</v>
      </c>
      <c r="X32" s="34">
        <f>(INDEX(Assumptions!$C$54:$G$54,1,X$4)+(INDEX(Assumptions!$C$54:$G$54,1,X$4)-IF(X$4=1,Assumptions!$H$54,INDEX(Assumptions!$C$54:$G$54,1,MAX(1,X$4-1))))*(X$5-(X$6+1)/2)/X$6)*X28</f>
        <v>5.625</v>
      </c>
      <c r="Y32" s="34">
        <f>(INDEX(Assumptions!$C$54:$G$54,1,Y$4)+(INDEX(Assumptions!$C$54:$G$54,1,Y$4)-IF(Y$4=1,Assumptions!$H$54,INDEX(Assumptions!$C$54:$G$54,1,MAX(1,Y$4-1))))*(Y$5-(Y$6+1)/2)/Y$6)*Y28</f>
        <v>5.875</v>
      </c>
      <c r="Z32" s="34">
        <f>(INDEX(Assumptions!$C$54:$G$54,1,Z$4)+(INDEX(Assumptions!$C$54:$G$54,1,Z$4)-IF(Z$4=1,Assumptions!$H$54,INDEX(Assumptions!$C$54:$G$54,1,MAX(1,Z$4-1))))*(Z$5-(Z$6+1)/2)/Z$6)*Z28</f>
        <v>6.125</v>
      </c>
      <c r="AA32" s="34">
        <f>(INDEX(Assumptions!$C$54:$G$54,1,AA$4)+(INDEX(Assumptions!$C$54:$G$54,1,AA$4)-IF(AA$4=1,Assumptions!$H$54,INDEX(Assumptions!$C$54:$G$54,1,MAX(1,AA$4-1))))*(AA$5-(AA$6+1)/2)/AA$6)*AA28</f>
        <v>6.375</v>
      </c>
      <c r="AB32" s="34">
        <f>(INDEX(Assumptions!$C$54:$G$54,1,AB$4)+(INDEX(Assumptions!$C$54:$G$54,1,AB$4)-IF(AB$4=1,Assumptions!$H$54,INDEX(Assumptions!$C$54:$G$54,1,MAX(1,AB$4-1))))*(AB$5-(AB$6+1)/2)/AB$6)*AB28</f>
        <v>6.625</v>
      </c>
      <c r="AC32" s="34">
        <f>(INDEX(Assumptions!$C$54:$G$54,1,AC$4)+(INDEX(Assumptions!$C$54:$G$54,1,AC$4)-IF(AC$4=1,Assumptions!$H$54,INDEX(Assumptions!$C$54:$G$54,1,MAX(1,AC$4-1))))*(AC$5-(AC$6+1)/2)/AC$6)*AC28</f>
        <v>6.875</v>
      </c>
      <c r="AD32" s="34">
        <f>(INDEX(Assumptions!$C$54:$G$54,1,AD$4)+(INDEX(Assumptions!$C$54:$G$54,1,AD$4)-IF(AD$4=1,Assumptions!$H$54,INDEX(Assumptions!$C$54:$G$54,1,MAX(1,AD$4-1))))*(AD$5-(AD$6+1)/2)/AD$6)*AD28</f>
        <v>7.125</v>
      </c>
      <c r="AE32" s="34">
        <f>(INDEX(Assumptions!$C$54:$G$54,1,AE$4)+(INDEX(Assumptions!$C$54:$G$54,1,AE$4)-IF(AE$4=1,Assumptions!$H$54,INDEX(Assumptions!$C$54:$G$54,1,MAX(1,AE$4-1))))*(AE$5-(AE$6+1)/2)/AE$6)*AE28</f>
        <v>7.375</v>
      </c>
      <c r="AF32" s="34">
        <f>(INDEX(Assumptions!$C$54:$G$54,1,AF$4)+(INDEX(Assumptions!$C$54:$G$54,1,AF$4)-IF(AF$4=1,Assumptions!$H$54,INDEX(Assumptions!$C$54:$G$54,1,MAX(1,AF$4-1))))*(AF$5-(AF$6+1)/2)/AF$6)*AF28</f>
        <v>7.625</v>
      </c>
      <c r="AG32" s="34">
        <f>(INDEX(Assumptions!$C$54:$G$54,1,AG$4)+(INDEX(Assumptions!$C$54:$G$54,1,AG$4)-IF(AG$4=1,Assumptions!$H$54,INDEX(Assumptions!$C$54:$G$54,1,MAX(1,AG$4-1))))*(AG$5-(AG$6+1)/2)/AG$6)*AG28</f>
        <v>7.875</v>
      </c>
      <c r="AH32" s="34">
        <f>(INDEX(Assumptions!$C$54:$G$54,1,AH$4)+(INDEX(Assumptions!$C$54:$G$54,1,AH$4)-IF(AH$4=1,Assumptions!$H$54,INDEX(Assumptions!$C$54:$G$54,1,MAX(1,AH$4-1))))*(AH$5-(AH$6+1)/2)/AH$6)*AH28</f>
        <v>8.125</v>
      </c>
      <c r="AI32" s="34">
        <f>(INDEX(Assumptions!$C$54:$G$54,1,AI$4)+(INDEX(Assumptions!$C$54:$G$54,1,AI$4)-IF(AI$4=1,Assumptions!$H$54,INDEX(Assumptions!$C$54:$G$54,1,MAX(1,AI$4-1))))*(AI$5-(AI$6+1)/2)/AI$6)*AI28</f>
        <v>8.375</v>
      </c>
      <c r="AJ32" s="34">
        <f>(INDEX(Assumptions!$C$54:$G$54,1,AJ$4)+(INDEX(Assumptions!$C$54:$G$54,1,AJ$4)-IF(AJ$4=1,Assumptions!$H$54,INDEX(Assumptions!$C$54:$G$54,1,MAX(1,AJ$4-1))))*(AJ$5-(AJ$6+1)/2)/AJ$6)*AJ28</f>
        <v>8.625</v>
      </c>
      <c r="AK32" s="34">
        <f>(INDEX(Assumptions!$C$54:$G$54,1,AK$4)+(INDEX(Assumptions!$C$54:$G$54,1,AK$4)-IF(AK$4=1,Assumptions!$H$54,INDEX(Assumptions!$C$54:$G$54,1,MAX(1,AK$4-1))))*(AK$5-(AK$6+1)/2)/AK$6)*AK28</f>
        <v>8.875</v>
      </c>
      <c r="AL32" s="34">
        <f>(INDEX(Assumptions!$C$54:$G$54,1,AL$4)+(INDEX(Assumptions!$C$54:$G$54,1,AL$4)-IF(AL$4=1,Assumptions!$H$54,INDEX(Assumptions!$C$54:$G$54,1,MAX(1,AL$4-1))))*(AL$5-(AL$6+1)/2)/AL$6)*AL28</f>
        <v>9.125</v>
      </c>
      <c r="AM32" s="34">
        <f>(INDEX(Assumptions!$C$54:$G$54,1,AM$4)+(INDEX(Assumptions!$C$54:$G$54,1,AM$4)-IF(AM$4=1,Assumptions!$H$54,INDEX(Assumptions!$C$54:$G$54,1,MAX(1,AM$4-1))))*(AM$5-(AM$6+1)/2)/AM$6)*AM28</f>
        <v>9.375</v>
      </c>
      <c r="AN32" s="34">
        <f>(INDEX(Assumptions!$C$54:$G$54,1,AN$4)+(INDEX(Assumptions!$C$54:$G$54,1,AN$4)-IF(AN$4=1,Assumptions!$H$54,INDEX(Assumptions!$C$54:$G$54,1,MAX(1,AN$4-1))))*(AN$5-(AN$6+1)/2)/AN$6)*AN28</f>
        <v>9.625</v>
      </c>
      <c r="AO32" s="34">
        <f>(INDEX(Assumptions!$C$54:$G$54,1,AO$4)+(INDEX(Assumptions!$C$54:$G$54,1,AO$4)-IF(AO$4=1,Assumptions!$H$54,INDEX(Assumptions!$C$54:$G$54,1,MAX(1,AO$4-1))))*(AO$5-(AO$6+1)/2)/AO$6)*AO28</f>
        <v>9.875</v>
      </c>
      <c r="AP32" s="34">
        <f>(INDEX(Assumptions!$C$54:$G$54,1,AP$4)+(INDEX(Assumptions!$C$54:$G$54,1,AP$4)-IF(AP$4=1,Assumptions!$H$54,INDEX(Assumptions!$C$54:$G$54,1,MAX(1,AP$4-1))))*(AP$5-(AP$6+1)/2)/AP$6)*AP28</f>
        <v>10.125</v>
      </c>
      <c r="AQ32" s="34">
        <f>(INDEX(Assumptions!$C$54:$G$54,1,AQ$4)+(INDEX(Assumptions!$C$54:$G$54,1,AQ$4)-IF(AQ$4=1,Assumptions!$H$54,INDEX(Assumptions!$C$54:$G$54,1,MAX(1,AQ$4-1))))*(AQ$5-(AQ$6+1)/2)/AQ$6)*AQ28</f>
        <v>10.375</v>
      </c>
      <c r="AR32" s="34">
        <f>(INDEX(Assumptions!$C$54:$G$54,1,AR$4)+(INDEX(Assumptions!$C$54:$G$54,1,AR$4)-IF(AR$4=1,Assumptions!$H$54,INDEX(Assumptions!$C$54:$G$54,1,MAX(1,AR$4-1))))*(AR$5-(AR$6+1)/2)/AR$6)*AR28</f>
        <v>10.625</v>
      </c>
      <c r="AS32" s="34">
        <f>(INDEX(Assumptions!$C$54:$G$54,1,AS$4)+(INDEX(Assumptions!$C$54:$G$54,1,AS$4)-IF(AS$4=1,Assumptions!$H$54,INDEX(Assumptions!$C$54:$G$54,1,MAX(1,AS$4-1))))*(AS$5-(AS$6+1)/2)/AS$6)*AS28</f>
        <v>10.875</v>
      </c>
      <c r="AT32" s="34">
        <f>(INDEX(Assumptions!$C$54:$G$54,1,AT$4)+(INDEX(Assumptions!$C$54:$G$54,1,AT$4)-IF(AT$4=1,Assumptions!$H$54,INDEX(Assumptions!$C$54:$G$54,1,MAX(1,AT$4-1))))*(AT$5-(AT$6+1)/2)/AT$6)*AT28</f>
        <v>11.125</v>
      </c>
      <c r="AU32" s="34">
        <f>(INDEX(Assumptions!$C$54:$G$54,1,AU$4)+(INDEX(Assumptions!$C$54:$G$54,1,AU$4)-IF(AU$4=1,Assumptions!$H$54,INDEX(Assumptions!$C$54:$G$54,1,MAX(1,AU$4-1))))*(AU$5-(AU$6+1)/2)/AU$6)*AU28</f>
        <v>11.375</v>
      </c>
      <c r="AV32" s="34">
        <f>(INDEX(Assumptions!$C$54:$G$54,1,AV$4)+(INDEX(Assumptions!$C$54:$G$54,1,AV$4)-IF(AV$4=1,Assumptions!$H$54,INDEX(Assumptions!$C$54:$G$54,1,MAX(1,AV$4-1))))*(AV$5-(AV$6+1)/2)/AV$6)*AV28</f>
        <v>11.625</v>
      </c>
      <c r="AW32" s="34">
        <f>(INDEX(Assumptions!$C$54:$G$54,1,AW$4)+(INDEX(Assumptions!$C$54:$G$54,1,AW$4)-IF(AW$4=1,Assumptions!$H$54,INDEX(Assumptions!$C$54:$G$54,1,MAX(1,AW$4-1))))*(AW$5-(AW$6+1)/2)/AW$6)*AW28</f>
        <v>11.875</v>
      </c>
      <c r="AX32" s="34">
        <f>(INDEX(Assumptions!$C$54:$G$54,1,AX$4)+(INDEX(Assumptions!$C$54:$G$54,1,AX$4)-IF(AX$4=1,Assumptions!$H$54,INDEX(Assumptions!$C$54:$G$54,1,MAX(1,AX$4-1))))*(AX$5-(AX$6+1)/2)/AX$6)*AX28</f>
        <v>12.125</v>
      </c>
      <c r="AY32" s="34">
        <f>(INDEX(Assumptions!$C$54:$G$54,1,AY$4)+(INDEX(Assumptions!$C$54:$G$54,1,AY$4)-IF(AY$4=1,Assumptions!$H$54,INDEX(Assumptions!$C$54:$G$54,1,MAX(1,AY$4-1))))*(AY$5-(AY$6+1)/2)/AY$6)*AY28</f>
        <v>12.375</v>
      </c>
      <c r="AZ32" s="34">
        <f>(INDEX(Assumptions!$C$54:$G$54,1,AZ$4)+(INDEX(Assumptions!$C$54:$G$54,1,AZ$4)-IF(AZ$4=1,Assumptions!$H$54,INDEX(Assumptions!$C$54:$G$54,1,MAX(1,AZ$4-1))))*(AZ$5-(AZ$6+1)/2)/AZ$6)*AZ28</f>
        <v>12.625</v>
      </c>
      <c r="BA32" s="34">
        <f>(INDEX(Assumptions!$C$54:$G$54,1,BA$4)+(INDEX(Assumptions!$C$54:$G$54,1,BA$4)-IF(BA$4=1,Assumptions!$H$54,INDEX(Assumptions!$C$54:$G$54,1,MAX(1,BA$4-1))))*(BA$5-(BA$6+1)/2)/BA$6)*BA28</f>
        <v>12.875</v>
      </c>
      <c r="BB32" s="34">
        <f>(INDEX(Assumptions!$C$54:$G$54,1,BB$4)+(INDEX(Assumptions!$C$54:$G$54,1,BB$4)-IF(BB$4=1,Assumptions!$H$54,INDEX(Assumptions!$C$54:$G$54,1,MAX(1,BB$4-1))))*(BB$5-(BB$6+1)/2)/BB$6)*BB28</f>
        <v>13.125</v>
      </c>
      <c r="BC32" s="34">
        <f>(INDEX(Assumptions!$C$54:$G$54,1,BC$4)+(INDEX(Assumptions!$C$54:$G$54,1,BC$4)-IF(BC$4=1,Assumptions!$H$54,INDEX(Assumptions!$C$54:$G$54,1,MAX(1,BC$4-1))))*(BC$5-(BC$6+1)/2)/BC$6)*BC28</f>
        <v>13.375</v>
      </c>
    </row>
    <row r="33">
      <c r="A33" s="4" t="inlineStr">
        <is>
          <t>Heads: State / DISCOM sales</t>
        </is>
      </c>
      <c r="B33" s="2" t="inlineStr">
        <is>
          <t>people (ramp)</t>
        </is>
      </c>
      <c r="C33" s="34">
        <f>(INDEX(Assumptions!$C$55:$G$55,1,C$4)+(INDEX(Assumptions!$C$55:$G$55,1,C$4)-IF(C$4=1,Assumptions!$H$55,INDEX(Assumptions!$C$55:$G$55,1,MAX(1,C$4-1))))*(C$5-(C$6+1)/2)/C$6)*C28</f>
        <v>0.0</v>
      </c>
      <c r="D33" s="34">
        <f>(INDEX(Assumptions!$C$55:$G$55,1,D$4)+(INDEX(Assumptions!$C$55:$G$55,1,D$4)-IF(D$4=1,Assumptions!$H$55,INDEX(Assumptions!$C$55:$G$55,1,MAX(1,D$4-1))))*(D$5-(D$6+1)/2)/D$6)*D28</f>
        <v>0.0</v>
      </c>
      <c r="E33" s="34">
        <f>(INDEX(Assumptions!$C$55:$G$55,1,E$4)+(INDEX(Assumptions!$C$55:$G$55,1,E$4)-IF(E$4=1,Assumptions!$H$55,INDEX(Assumptions!$C$55:$G$55,1,MAX(1,E$4-1))))*(E$5-(E$6+1)/2)/E$6)*E28</f>
        <v>0.0</v>
      </c>
      <c r="F33" s="34">
        <f>(INDEX(Assumptions!$C$55:$G$55,1,F$4)+(INDEX(Assumptions!$C$55:$G$55,1,F$4)-IF(F$4=1,Assumptions!$H$55,INDEX(Assumptions!$C$55:$G$55,1,MAX(1,F$4-1))))*(F$5-(F$6+1)/2)/F$6)*F28</f>
        <v>0.0</v>
      </c>
      <c r="G33" s="34">
        <f>(INDEX(Assumptions!$C$55:$G$55,1,G$4)+(INDEX(Assumptions!$C$55:$G$55,1,G$4)-IF(G$4=1,Assumptions!$H$55,INDEX(Assumptions!$C$55:$G$55,1,MAX(1,G$4-1))))*(G$5-(G$6+1)/2)/G$6)*G28</f>
        <v>0.0</v>
      </c>
      <c r="H33" s="34">
        <f>(INDEX(Assumptions!$C$55:$G$55,1,H$4)+(INDEX(Assumptions!$C$55:$G$55,1,H$4)-IF(H$4=1,Assumptions!$H$55,INDEX(Assumptions!$C$55:$G$55,1,MAX(1,H$4-1))))*(H$5-(H$6+1)/2)/H$6)*H28</f>
        <v>0.5416666666666667</v>
      </c>
      <c r="I33" s="34">
        <f>(INDEX(Assumptions!$C$55:$G$55,1,I$4)+(INDEX(Assumptions!$C$55:$G$55,1,I$4)-IF(I$4=1,Assumptions!$H$55,INDEX(Assumptions!$C$55:$G$55,1,MAX(1,I$4-1))))*(I$5-(I$6+1)/2)/I$6)*I28</f>
        <v>0.625</v>
      </c>
      <c r="J33" s="34">
        <f>(INDEX(Assumptions!$C$55:$G$55,1,J$4)+(INDEX(Assumptions!$C$55:$G$55,1,J$4)-IF(J$4=1,Assumptions!$H$55,INDEX(Assumptions!$C$55:$G$55,1,MAX(1,J$4-1))))*(J$5-(J$6+1)/2)/J$6)*J28</f>
        <v>0.7083333333333333</v>
      </c>
      <c r="K33" s="34">
        <f>(INDEX(Assumptions!$C$55:$G$55,1,K$4)+(INDEX(Assumptions!$C$55:$G$55,1,K$4)-IF(K$4=1,Assumptions!$H$55,INDEX(Assumptions!$C$55:$G$55,1,MAX(1,K$4-1))))*(K$5-(K$6+1)/2)/K$6)*K28</f>
        <v>0.7916666666666666</v>
      </c>
      <c r="L33" s="34">
        <f>(INDEX(Assumptions!$C$55:$G$55,1,L$4)+(INDEX(Assumptions!$C$55:$G$55,1,L$4)-IF(L$4=1,Assumptions!$H$55,INDEX(Assumptions!$C$55:$G$55,1,MAX(1,L$4-1))))*(L$5-(L$6+1)/2)/L$6)*L28</f>
        <v>0.875</v>
      </c>
      <c r="M33" s="34">
        <f>(INDEX(Assumptions!$C$55:$G$55,1,M$4)+(INDEX(Assumptions!$C$55:$G$55,1,M$4)-IF(M$4=1,Assumptions!$H$55,INDEX(Assumptions!$C$55:$G$55,1,MAX(1,M$4-1))))*(M$5-(M$6+1)/2)/M$6)*M28</f>
        <v>0.9583333333333334</v>
      </c>
      <c r="N33" s="34">
        <f>(INDEX(Assumptions!$C$55:$G$55,1,N$4)+(INDEX(Assumptions!$C$55:$G$55,1,N$4)-IF(N$4=1,Assumptions!$H$55,INDEX(Assumptions!$C$55:$G$55,1,MAX(1,N$4-1))))*(N$5-(N$6+1)/2)/N$6)*N28</f>
        <v>1.0416666666666667</v>
      </c>
      <c r="O33" s="34">
        <f>(INDEX(Assumptions!$C$55:$G$55,1,O$4)+(INDEX(Assumptions!$C$55:$G$55,1,O$4)-IF(O$4=1,Assumptions!$H$55,INDEX(Assumptions!$C$55:$G$55,1,MAX(1,O$4-1))))*(O$5-(O$6+1)/2)/O$6)*O28</f>
        <v>1.125</v>
      </c>
      <c r="P33" s="34">
        <f>(INDEX(Assumptions!$C$55:$G$55,1,P$4)+(INDEX(Assumptions!$C$55:$G$55,1,P$4)-IF(P$4=1,Assumptions!$H$55,INDEX(Assumptions!$C$55:$G$55,1,MAX(1,P$4-1))))*(P$5-(P$6+1)/2)/P$6)*P28</f>
        <v>1.2083333333333333</v>
      </c>
      <c r="Q33" s="34">
        <f>(INDEX(Assumptions!$C$55:$G$55,1,Q$4)+(INDEX(Assumptions!$C$55:$G$55,1,Q$4)-IF(Q$4=1,Assumptions!$H$55,INDEX(Assumptions!$C$55:$G$55,1,MAX(1,Q$4-1))))*(Q$5-(Q$6+1)/2)/Q$6)*Q28</f>
        <v>1.2916666666666667</v>
      </c>
      <c r="R33" s="34">
        <f>(INDEX(Assumptions!$C$55:$G$55,1,R$4)+(INDEX(Assumptions!$C$55:$G$55,1,R$4)-IF(R$4=1,Assumptions!$H$55,INDEX(Assumptions!$C$55:$G$55,1,MAX(1,R$4-1))))*(R$5-(R$6+1)/2)/R$6)*R28</f>
        <v>1.375</v>
      </c>
      <c r="S33" s="34">
        <f>(INDEX(Assumptions!$C$55:$G$55,1,S$4)+(INDEX(Assumptions!$C$55:$G$55,1,S$4)-IF(S$4=1,Assumptions!$H$55,INDEX(Assumptions!$C$55:$G$55,1,MAX(1,S$4-1))))*(S$5-(S$6+1)/2)/S$6)*S28</f>
        <v>1.4583333333333333</v>
      </c>
      <c r="T33" s="34">
        <f>(INDEX(Assumptions!$C$55:$G$55,1,T$4)+(INDEX(Assumptions!$C$55:$G$55,1,T$4)-IF(T$4=1,Assumptions!$H$55,INDEX(Assumptions!$C$55:$G$55,1,MAX(1,T$4-1))))*(T$5-(T$6+1)/2)/T$6)*T28</f>
        <v>1.5416666666666667</v>
      </c>
      <c r="U33" s="34">
        <f>(INDEX(Assumptions!$C$55:$G$55,1,U$4)+(INDEX(Assumptions!$C$55:$G$55,1,U$4)-IF(U$4=1,Assumptions!$H$55,INDEX(Assumptions!$C$55:$G$55,1,MAX(1,U$4-1))))*(U$5-(U$6+1)/2)/U$6)*U28</f>
        <v>1.625</v>
      </c>
      <c r="V33" s="34">
        <f>(INDEX(Assumptions!$C$55:$G$55,1,V$4)+(INDEX(Assumptions!$C$55:$G$55,1,V$4)-IF(V$4=1,Assumptions!$H$55,INDEX(Assumptions!$C$55:$G$55,1,MAX(1,V$4-1))))*(V$5-(V$6+1)/2)/V$6)*V28</f>
        <v>1.7083333333333333</v>
      </c>
      <c r="W33" s="34">
        <f>(INDEX(Assumptions!$C$55:$G$55,1,W$4)+(INDEX(Assumptions!$C$55:$G$55,1,W$4)-IF(W$4=1,Assumptions!$H$55,INDEX(Assumptions!$C$55:$G$55,1,MAX(1,W$4-1))))*(W$5-(W$6+1)/2)/W$6)*W28</f>
        <v>1.7916666666666667</v>
      </c>
      <c r="X33" s="34">
        <f>(INDEX(Assumptions!$C$55:$G$55,1,X$4)+(INDEX(Assumptions!$C$55:$G$55,1,X$4)-IF(X$4=1,Assumptions!$H$55,INDEX(Assumptions!$C$55:$G$55,1,MAX(1,X$4-1))))*(X$5-(X$6+1)/2)/X$6)*X28</f>
        <v>1.875</v>
      </c>
      <c r="Y33" s="34">
        <f>(INDEX(Assumptions!$C$55:$G$55,1,Y$4)+(INDEX(Assumptions!$C$55:$G$55,1,Y$4)-IF(Y$4=1,Assumptions!$H$55,INDEX(Assumptions!$C$55:$G$55,1,MAX(1,Y$4-1))))*(Y$5-(Y$6+1)/2)/Y$6)*Y28</f>
        <v>1.9583333333333333</v>
      </c>
      <c r="Z33" s="34">
        <f>(INDEX(Assumptions!$C$55:$G$55,1,Z$4)+(INDEX(Assumptions!$C$55:$G$55,1,Z$4)-IF(Z$4=1,Assumptions!$H$55,INDEX(Assumptions!$C$55:$G$55,1,MAX(1,Z$4-1))))*(Z$5-(Z$6+1)/2)/Z$6)*Z28</f>
        <v>2.0416666666666665</v>
      </c>
      <c r="AA33" s="34">
        <f>(INDEX(Assumptions!$C$55:$G$55,1,AA$4)+(INDEX(Assumptions!$C$55:$G$55,1,AA$4)-IF(AA$4=1,Assumptions!$H$55,INDEX(Assumptions!$C$55:$G$55,1,MAX(1,AA$4-1))))*(AA$5-(AA$6+1)/2)/AA$6)*AA28</f>
        <v>2.125</v>
      </c>
      <c r="AB33" s="34">
        <f>(INDEX(Assumptions!$C$55:$G$55,1,AB$4)+(INDEX(Assumptions!$C$55:$G$55,1,AB$4)-IF(AB$4=1,Assumptions!$H$55,INDEX(Assumptions!$C$55:$G$55,1,MAX(1,AB$4-1))))*(AB$5-(AB$6+1)/2)/AB$6)*AB28</f>
        <v>2.2083333333333335</v>
      </c>
      <c r="AC33" s="34">
        <f>(INDEX(Assumptions!$C$55:$G$55,1,AC$4)+(INDEX(Assumptions!$C$55:$G$55,1,AC$4)-IF(AC$4=1,Assumptions!$H$55,INDEX(Assumptions!$C$55:$G$55,1,MAX(1,AC$4-1))))*(AC$5-(AC$6+1)/2)/AC$6)*AC28</f>
        <v>2.2916666666666665</v>
      </c>
      <c r="AD33" s="34">
        <f>(INDEX(Assumptions!$C$55:$G$55,1,AD$4)+(INDEX(Assumptions!$C$55:$G$55,1,AD$4)-IF(AD$4=1,Assumptions!$H$55,INDEX(Assumptions!$C$55:$G$55,1,MAX(1,AD$4-1))))*(AD$5-(AD$6+1)/2)/AD$6)*AD28</f>
        <v>2.375</v>
      </c>
      <c r="AE33" s="34">
        <f>(INDEX(Assumptions!$C$55:$G$55,1,AE$4)+(INDEX(Assumptions!$C$55:$G$55,1,AE$4)-IF(AE$4=1,Assumptions!$H$55,INDEX(Assumptions!$C$55:$G$55,1,MAX(1,AE$4-1))))*(AE$5-(AE$6+1)/2)/AE$6)*AE28</f>
        <v>2.4583333333333335</v>
      </c>
      <c r="AF33" s="34">
        <f>(INDEX(Assumptions!$C$55:$G$55,1,AF$4)+(INDEX(Assumptions!$C$55:$G$55,1,AF$4)-IF(AF$4=1,Assumptions!$H$55,INDEX(Assumptions!$C$55:$G$55,1,MAX(1,AF$4-1))))*(AF$5-(AF$6+1)/2)/AF$6)*AF28</f>
        <v>2.5416666666666665</v>
      </c>
      <c r="AG33" s="34">
        <f>(INDEX(Assumptions!$C$55:$G$55,1,AG$4)+(INDEX(Assumptions!$C$55:$G$55,1,AG$4)-IF(AG$4=1,Assumptions!$H$55,INDEX(Assumptions!$C$55:$G$55,1,MAX(1,AG$4-1))))*(AG$5-(AG$6+1)/2)/AG$6)*AG28</f>
        <v>2.625</v>
      </c>
      <c r="AH33" s="34">
        <f>(INDEX(Assumptions!$C$55:$G$55,1,AH$4)+(INDEX(Assumptions!$C$55:$G$55,1,AH$4)-IF(AH$4=1,Assumptions!$H$55,INDEX(Assumptions!$C$55:$G$55,1,MAX(1,AH$4-1))))*(AH$5-(AH$6+1)/2)/AH$6)*AH28</f>
        <v>2.7083333333333335</v>
      </c>
      <c r="AI33" s="34">
        <f>(INDEX(Assumptions!$C$55:$G$55,1,AI$4)+(INDEX(Assumptions!$C$55:$G$55,1,AI$4)-IF(AI$4=1,Assumptions!$H$55,INDEX(Assumptions!$C$55:$G$55,1,MAX(1,AI$4-1))))*(AI$5-(AI$6+1)/2)/AI$6)*AI28</f>
        <v>2.7916666666666665</v>
      </c>
      <c r="AJ33" s="34">
        <f>(INDEX(Assumptions!$C$55:$G$55,1,AJ$4)+(INDEX(Assumptions!$C$55:$G$55,1,AJ$4)-IF(AJ$4=1,Assumptions!$H$55,INDEX(Assumptions!$C$55:$G$55,1,MAX(1,AJ$4-1))))*(AJ$5-(AJ$6+1)/2)/AJ$6)*AJ28</f>
        <v>2.875</v>
      </c>
      <c r="AK33" s="34">
        <f>(INDEX(Assumptions!$C$55:$G$55,1,AK$4)+(INDEX(Assumptions!$C$55:$G$55,1,AK$4)-IF(AK$4=1,Assumptions!$H$55,INDEX(Assumptions!$C$55:$G$55,1,MAX(1,AK$4-1))))*(AK$5-(AK$6+1)/2)/AK$6)*AK28</f>
        <v>2.9583333333333335</v>
      </c>
      <c r="AL33" s="34">
        <f>(INDEX(Assumptions!$C$55:$G$55,1,AL$4)+(INDEX(Assumptions!$C$55:$G$55,1,AL$4)-IF(AL$4=1,Assumptions!$H$55,INDEX(Assumptions!$C$55:$G$55,1,MAX(1,AL$4-1))))*(AL$5-(AL$6+1)/2)/AL$6)*AL28</f>
        <v>3.0416666666666665</v>
      </c>
      <c r="AM33" s="34">
        <f>(INDEX(Assumptions!$C$55:$G$55,1,AM$4)+(INDEX(Assumptions!$C$55:$G$55,1,AM$4)-IF(AM$4=1,Assumptions!$H$55,INDEX(Assumptions!$C$55:$G$55,1,MAX(1,AM$4-1))))*(AM$5-(AM$6+1)/2)/AM$6)*AM28</f>
        <v>3.125</v>
      </c>
      <c r="AN33" s="34">
        <f>(INDEX(Assumptions!$C$55:$G$55,1,AN$4)+(INDEX(Assumptions!$C$55:$G$55,1,AN$4)-IF(AN$4=1,Assumptions!$H$55,INDEX(Assumptions!$C$55:$G$55,1,MAX(1,AN$4-1))))*(AN$5-(AN$6+1)/2)/AN$6)*AN28</f>
        <v>3.2083333333333335</v>
      </c>
      <c r="AO33" s="34">
        <f>(INDEX(Assumptions!$C$55:$G$55,1,AO$4)+(INDEX(Assumptions!$C$55:$G$55,1,AO$4)-IF(AO$4=1,Assumptions!$H$55,INDEX(Assumptions!$C$55:$G$55,1,MAX(1,AO$4-1))))*(AO$5-(AO$6+1)/2)/AO$6)*AO28</f>
        <v>3.2916666666666665</v>
      </c>
      <c r="AP33" s="34">
        <f>(INDEX(Assumptions!$C$55:$G$55,1,AP$4)+(INDEX(Assumptions!$C$55:$G$55,1,AP$4)-IF(AP$4=1,Assumptions!$H$55,INDEX(Assumptions!$C$55:$G$55,1,MAX(1,AP$4-1))))*(AP$5-(AP$6+1)/2)/AP$6)*AP28</f>
        <v>3.375</v>
      </c>
      <c r="AQ33" s="34">
        <f>(INDEX(Assumptions!$C$55:$G$55,1,AQ$4)+(INDEX(Assumptions!$C$55:$G$55,1,AQ$4)-IF(AQ$4=1,Assumptions!$H$55,INDEX(Assumptions!$C$55:$G$55,1,MAX(1,AQ$4-1))))*(AQ$5-(AQ$6+1)/2)/AQ$6)*AQ28</f>
        <v>3.4583333333333335</v>
      </c>
      <c r="AR33" s="34">
        <f>(INDEX(Assumptions!$C$55:$G$55,1,AR$4)+(INDEX(Assumptions!$C$55:$G$55,1,AR$4)-IF(AR$4=1,Assumptions!$H$55,INDEX(Assumptions!$C$55:$G$55,1,MAX(1,AR$4-1))))*(AR$5-(AR$6+1)/2)/AR$6)*AR28</f>
        <v>3.5416666666666665</v>
      </c>
      <c r="AS33" s="34">
        <f>(INDEX(Assumptions!$C$55:$G$55,1,AS$4)+(INDEX(Assumptions!$C$55:$G$55,1,AS$4)-IF(AS$4=1,Assumptions!$H$55,INDEX(Assumptions!$C$55:$G$55,1,MAX(1,AS$4-1))))*(AS$5-(AS$6+1)/2)/AS$6)*AS28</f>
        <v>3.625</v>
      </c>
      <c r="AT33" s="34">
        <f>(INDEX(Assumptions!$C$55:$G$55,1,AT$4)+(INDEX(Assumptions!$C$55:$G$55,1,AT$4)-IF(AT$4=1,Assumptions!$H$55,INDEX(Assumptions!$C$55:$G$55,1,MAX(1,AT$4-1))))*(AT$5-(AT$6+1)/2)/AT$6)*AT28</f>
        <v>3.7083333333333335</v>
      </c>
      <c r="AU33" s="34">
        <f>(INDEX(Assumptions!$C$55:$G$55,1,AU$4)+(INDEX(Assumptions!$C$55:$G$55,1,AU$4)-IF(AU$4=1,Assumptions!$H$55,INDEX(Assumptions!$C$55:$G$55,1,MAX(1,AU$4-1))))*(AU$5-(AU$6+1)/2)/AU$6)*AU28</f>
        <v>3.7916666666666665</v>
      </c>
      <c r="AV33" s="34">
        <f>(INDEX(Assumptions!$C$55:$G$55,1,AV$4)+(INDEX(Assumptions!$C$55:$G$55,1,AV$4)-IF(AV$4=1,Assumptions!$H$55,INDEX(Assumptions!$C$55:$G$55,1,MAX(1,AV$4-1))))*(AV$5-(AV$6+1)/2)/AV$6)*AV28</f>
        <v>3.875</v>
      </c>
      <c r="AW33" s="34">
        <f>(INDEX(Assumptions!$C$55:$G$55,1,AW$4)+(INDEX(Assumptions!$C$55:$G$55,1,AW$4)-IF(AW$4=1,Assumptions!$H$55,INDEX(Assumptions!$C$55:$G$55,1,MAX(1,AW$4-1))))*(AW$5-(AW$6+1)/2)/AW$6)*AW28</f>
        <v>3.9583333333333335</v>
      </c>
      <c r="AX33" s="34">
        <f>(INDEX(Assumptions!$C$55:$G$55,1,AX$4)+(INDEX(Assumptions!$C$55:$G$55,1,AX$4)-IF(AX$4=1,Assumptions!$H$55,INDEX(Assumptions!$C$55:$G$55,1,MAX(1,AX$4-1))))*(AX$5-(AX$6+1)/2)/AX$6)*AX28</f>
        <v>4.041666666666667</v>
      </c>
      <c r="AY33" s="34">
        <f>(INDEX(Assumptions!$C$55:$G$55,1,AY$4)+(INDEX(Assumptions!$C$55:$G$55,1,AY$4)-IF(AY$4=1,Assumptions!$H$55,INDEX(Assumptions!$C$55:$G$55,1,MAX(1,AY$4-1))))*(AY$5-(AY$6+1)/2)/AY$6)*AY28</f>
        <v>4.125</v>
      </c>
      <c r="AZ33" s="34">
        <f>(INDEX(Assumptions!$C$55:$G$55,1,AZ$4)+(INDEX(Assumptions!$C$55:$G$55,1,AZ$4)-IF(AZ$4=1,Assumptions!$H$55,INDEX(Assumptions!$C$55:$G$55,1,MAX(1,AZ$4-1))))*(AZ$5-(AZ$6+1)/2)/AZ$6)*AZ28</f>
        <v>4.208333333333333</v>
      </c>
      <c r="BA33" s="34">
        <f>(INDEX(Assumptions!$C$55:$G$55,1,BA$4)+(INDEX(Assumptions!$C$55:$G$55,1,BA$4)-IF(BA$4=1,Assumptions!$H$55,INDEX(Assumptions!$C$55:$G$55,1,MAX(1,BA$4-1))))*(BA$5-(BA$6+1)/2)/BA$6)*BA28</f>
        <v>4.291666666666667</v>
      </c>
      <c r="BB33" s="34">
        <f>(INDEX(Assumptions!$C$55:$G$55,1,BB$4)+(INDEX(Assumptions!$C$55:$G$55,1,BB$4)-IF(BB$4=1,Assumptions!$H$55,INDEX(Assumptions!$C$55:$G$55,1,MAX(1,BB$4-1))))*(BB$5-(BB$6+1)/2)/BB$6)*BB28</f>
        <v>4.375</v>
      </c>
      <c r="BC33" s="34">
        <f>(INDEX(Assumptions!$C$55:$G$55,1,BC$4)+(INDEX(Assumptions!$C$55:$G$55,1,BC$4)-IF(BC$4=1,Assumptions!$H$55,INDEX(Assumptions!$C$55:$G$55,1,MAX(1,BC$4-1))))*(BC$5-(BC$6+1)/2)/BC$6)*BC28</f>
        <v>4.458333333333333</v>
      </c>
    </row>
    <row r="34">
      <c r="A34" s="4" t="inlineStr">
        <is>
          <t>Heads: G&amp;A (founder-CEO, finance, HR, legal)</t>
        </is>
      </c>
      <c r="B34" s="2" t="inlineStr">
        <is>
          <t>people (ramp)</t>
        </is>
      </c>
      <c r="C34" s="34">
        <f>(INDEX(Assumptions!$C$56:$G$56,1,C$4)+(INDEX(Assumptions!$C$56:$G$56,1,C$4)-IF(C$4=1,Assumptions!$H$56,INDEX(Assumptions!$C$56:$G$56,1,MAX(1,C$4-1))))*(C$5-(C$6+1)/2)/C$6)*C28</f>
        <v>1.0</v>
      </c>
      <c r="D34" s="34">
        <f>(INDEX(Assumptions!$C$56:$G$56,1,D$4)+(INDEX(Assumptions!$C$56:$G$56,1,D$4)-IF(D$4=1,Assumptions!$H$56,INDEX(Assumptions!$C$56:$G$56,1,MAX(1,D$4-1))))*(D$5-(D$6+1)/2)/D$6)*D28</f>
        <v>1.0</v>
      </c>
      <c r="E34" s="34">
        <f>(INDEX(Assumptions!$C$56:$G$56,1,E$4)+(INDEX(Assumptions!$C$56:$G$56,1,E$4)-IF(E$4=1,Assumptions!$H$56,INDEX(Assumptions!$C$56:$G$56,1,MAX(1,E$4-1))))*(E$5-(E$6+1)/2)/E$6)*E28</f>
        <v>1.0</v>
      </c>
      <c r="F34" s="34">
        <f>(INDEX(Assumptions!$C$56:$G$56,1,F$4)+(INDEX(Assumptions!$C$56:$G$56,1,F$4)-IF(F$4=1,Assumptions!$H$56,INDEX(Assumptions!$C$56:$G$56,1,MAX(1,F$4-1))))*(F$5-(F$6+1)/2)/F$6)*F28</f>
        <v>1.0</v>
      </c>
      <c r="G34" s="34">
        <f>(INDEX(Assumptions!$C$56:$G$56,1,G$4)+(INDEX(Assumptions!$C$56:$G$56,1,G$4)-IF(G$4=1,Assumptions!$H$56,INDEX(Assumptions!$C$56:$G$56,1,MAX(1,G$4-1))))*(G$5-(G$6+1)/2)/G$6)*G28</f>
        <v>1.0</v>
      </c>
      <c r="H34" s="34">
        <f>(INDEX(Assumptions!$C$56:$G$56,1,H$4)+(INDEX(Assumptions!$C$56:$G$56,1,H$4)-IF(H$4=1,Assumptions!$H$56,INDEX(Assumptions!$C$56:$G$56,1,MAX(1,H$4-1))))*(H$5-(H$6+1)/2)/H$6)*H28</f>
        <v>1.5416666666666667</v>
      </c>
      <c r="I34" s="34">
        <f>(INDEX(Assumptions!$C$56:$G$56,1,I$4)+(INDEX(Assumptions!$C$56:$G$56,1,I$4)-IF(I$4=1,Assumptions!$H$56,INDEX(Assumptions!$C$56:$G$56,1,MAX(1,I$4-1))))*(I$5-(I$6+1)/2)/I$6)*I28</f>
        <v>1.625</v>
      </c>
      <c r="J34" s="34">
        <f>(INDEX(Assumptions!$C$56:$G$56,1,J$4)+(INDEX(Assumptions!$C$56:$G$56,1,J$4)-IF(J$4=1,Assumptions!$H$56,INDEX(Assumptions!$C$56:$G$56,1,MAX(1,J$4-1))))*(J$5-(J$6+1)/2)/J$6)*J28</f>
        <v>1.7083333333333333</v>
      </c>
      <c r="K34" s="34">
        <f>(INDEX(Assumptions!$C$56:$G$56,1,K$4)+(INDEX(Assumptions!$C$56:$G$56,1,K$4)-IF(K$4=1,Assumptions!$H$56,INDEX(Assumptions!$C$56:$G$56,1,MAX(1,K$4-1))))*(K$5-(K$6+1)/2)/K$6)*K28</f>
        <v>1.7916666666666667</v>
      </c>
      <c r="L34" s="34">
        <f>(INDEX(Assumptions!$C$56:$G$56,1,L$4)+(INDEX(Assumptions!$C$56:$G$56,1,L$4)-IF(L$4=1,Assumptions!$H$56,INDEX(Assumptions!$C$56:$G$56,1,MAX(1,L$4-1))))*(L$5-(L$6+1)/2)/L$6)*L28</f>
        <v>1.875</v>
      </c>
      <c r="M34" s="34">
        <f>(INDEX(Assumptions!$C$56:$G$56,1,M$4)+(INDEX(Assumptions!$C$56:$G$56,1,M$4)-IF(M$4=1,Assumptions!$H$56,INDEX(Assumptions!$C$56:$G$56,1,MAX(1,M$4-1))))*(M$5-(M$6+1)/2)/M$6)*M28</f>
        <v>1.9583333333333333</v>
      </c>
      <c r="N34" s="34">
        <f>(INDEX(Assumptions!$C$56:$G$56,1,N$4)+(INDEX(Assumptions!$C$56:$G$56,1,N$4)-IF(N$4=1,Assumptions!$H$56,INDEX(Assumptions!$C$56:$G$56,1,MAX(1,N$4-1))))*(N$5-(N$6+1)/2)/N$6)*N28</f>
        <v>2.0416666666666665</v>
      </c>
      <c r="O34" s="34">
        <f>(INDEX(Assumptions!$C$56:$G$56,1,O$4)+(INDEX(Assumptions!$C$56:$G$56,1,O$4)-IF(O$4=1,Assumptions!$H$56,INDEX(Assumptions!$C$56:$G$56,1,MAX(1,O$4-1))))*(O$5-(O$6+1)/2)/O$6)*O28</f>
        <v>2.125</v>
      </c>
      <c r="P34" s="34">
        <f>(INDEX(Assumptions!$C$56:$G$56,1,P$4)+(INDEX(Assumptions!$C$56:$G$56,1,P$4)-IF(P$4=1,Assumptions!$H$56,INDEX(Assumptions!$C$56:$G$56,1,MAX(1,P$4-1))))*(P$5-(P$6+1)/2)/P$6)*P28</f>
        <v>2.2083333333333335</v>
      </c>
      <c r="Q34" s="34">
        <f>(INDEX(Assumptions!$C$56:$G$56,1,Q$4)+(INDEX(Assumptions!$C$56:$G$56,1,Q$4)-IF(Q$4=1,Assumptions!$H$56,INDEX(Assumptions!$C$56:$G$56,1,MAX(1,Q$4-1))))*(Q$5-(Q$6+1)/2)/Q$6)*Q28</f>
        <v>2.2916666666666665</v>
      </c>
      <c r="R34" s="34">
        <f>(INDEX(Assumptions!$C$56:$G$56,1,R$4)+(INDEX(Assumptions!$C$56:$G$56,1,R$4)-IF(R$4=1,Assumptions!$H$56,INDEX(Assumptions!$C$56:$G$56,1,MAX(1,R$4-1))))*(R$5-(R$6+1)/2)/R$6)*R28</f>
        <v>2.375</v>
      </c>
      <c r="S34" s="34">
        <f>(INDEX(Assumptions!$C$56:$G$56,1,S$4)+(INDEX(Assumptions!$C$56:$G$56,1,S$4)-IF(S$4=1,Assumptions!$H$56,INDEX(Assumptions!$C$56:$G$56,1,MAX(1,S$4-1))))*(S$5-(S$6+1)/2)/S$6)*S28</f>
        <v>2.4583333333333335</v>
      </c>
      <c r="T34" s="34">
        <f>(INDEX(Assumptions!$C$56:$G$56,1,T$4)+(INDEX(Assumptions!$C$56:$G$56,1,T$4)-IF(T$4=1,Assumptions!$H$56,INDEX(Assumptions!$C$56:$G$56,1,MAX(1,T$4-1))))*(T$5-(T$6+1)/2)/T$6)*T28</f>
        <v>3.0833333333333335</v>
      </c>
      <c r="U34" s="34">
        <f>(INDEX(Assumptions!$C$56:$G$56,1,U$4)+(INDEX(Assumptions!$C$56:$G$56,1,U$4)-IF(U$4=1,Assumptions!$H$56,INDEX(Assumptions!$C$56:$G$56,1,MAX(1,U$4-1))))*(U$5-(U$6+1)/2)/U$6)*U28</f>
        <v>3.25</v>
      </c>
      <c r="V34" s="34">
        <f>(INDEX(Assumptions!$C$56:$G$56,1,V$4)+(INDEX(Assumptions!$C$56:$G$56,1,V$4)-IF(V$4=1,Assumptions!$H$56,INDEX(Assumptions!$C$56:$G$56,1,MAX(1,V$4-1))))*(V$5-(V$6+1)/2)/V$6)*V28</f>
        <v>3.4166666666666665</v>
      </c>
      <c r="W34" s="34">
        <f>(INDEX(Assumptions!$C$56:$G$56,1,W$4)+(INDEX(Assumptions!$C$56:$G$56,1,W$4)-IF(W$4=1,Assumptions!$H$56,INDEX(Assumptions!$C$56:$G$56,1,MAX(1,W$4-1))))*(W$5-(W$6+1)/2)/W$6)*W28</f>
        <v>3.5833333333333335</v>
      </c>
      <c r="X34" s="34">
        <f>(INDEX(Assumptions!$C$56:$G$56,1,X$4)+(INDEX(Assumptions!$C$56:$G$56,1,X$4)-IF(X$4=1,Assumptions!$H$56,INDEX(Assumptions!$C$56:$G$56,1,MAX(1,X$4-1))))*(X$5-(X$6+1)/2)/X$6)*X28</f>
        <v>3.75</v>
      </c>
      <c r="Y34" s="34">
        <f>(INDEX(Assumptions!$C$56:$G$56,1,Y$4)+(INDEX(Assumptions!$C$56:$G$56,1,Y$4)-IF(Y$4=1,Assumptions!$H$56,INDEX(Assumptions!$C$56:$G$56,1,MAX(1,Y$4-1))))*(Y$5-(Y$6+1)/2)/Y$6)*Y28</f>
        <v>3.9166666666666665</v>
      </c>
      <c r="Z34" s="34">
        <f>(INDEX(Assumptions!$C$56:$G$56,1,Z$4)+(INDEX(Assumptions!$C$56:$G$56,1,Z$4)-IF(Z$4=1,Assumptions!$H$56,INDEX(Assumptions!$C$56:$G$56,1,MAX(1,Z$4-1))))*(Z$5-(Z$6+1)/2)/Z$6)*Z28</f>
        <v>4.083333333333333</v>
      </c>
      <c r="AA34" s="34">
        <f>(INDEX(Assumptions!$C$56:$G$56,1,AA$4)+(INDEX(Assumptions!$C$56:$G$56,1,AA$4)-IF(AA$4=1,Assumptions!$H$56,INDEX(Assumptions!$C$56:$G$56,1,MAX(1,AA$4-1))))*(AA$5-(AA$6+1)/2)/AA$6)*AA28</f>
        <v>4.25</v>
      </c>
      <c r="AB34" s="34">
        <f>(INDEX(Assumptions!$C$56:$G$56,1,AB$4)+(INDEX(Assumptions!$C$56:$G$56,1,AB$4)-IF(AB$4=1,Assumptions!$H$56,INDEX(Assumptions!$C$56:$G$56,1,MAX(1,AB$4-1))))*(AB$5-(AB$6+1)/2)/AB$6)*AB28</f>
        <v>4.416666666666667</v>
      </c>
      <c r="AC34" s="34">
        <f>(INDEX(Assumptions!$C$56:$G$56,1,AC$4)+(INDEX(Assumptions!$C$56:$G$56,1,AC$4)-IF(AC$4=1,Assumptions!$H$56,INDEX(Assumptions!$C$56:$G$56,1,MAX(1,AC$4-1))))*(AC$5-(AC$6+1)/2)/AC$6)*AC28</f>
        <v>4.583333333333333</v>
      </c>
      <c r="AD34" s="34">
        <f>(INDEX(Assumptions!$C$56:$G$56,1,AD$4)+(INDEX(Assumptions!$C$56:$G$56,1,AD$4)-IF(AD$4=1,Assumptions!$H$56,INDEX(Assumptions!$C$56:$G$56,1,MAX(1,AD$4-1))))*(AD$5-(AD$6+1)/2)/AD$6)*AD28</f>
        <v>4.75</v>
      </c>
      <c r="AE34" s="34">
        <f>(INDEX(Assumptions!$C$56:$G$56,1,AE$4)+(INDEX(Assumptions!$C$56:$G$56,1,AE$4)-IF(AE$4=1,Assumptions!$H$56,INDEX(Assumptions!$C$56:$G$56,1,MAX(1,AE$4-1))))*(AE$5-(AE$6+1)/2)/AE$6)*AE28</f>
        <v>4.916666666666667</v>
      </c>
      <c r="AF34" s="34">
        <f>(INDEX(Assumptions!$C$56:$G$56,1,AF$4)+(INDEX(Assumptions!$C$56:$G$56,1,AF$4)-IF(AF$4=1,Assumptions!$H$56,INDEX(Assumptions!$C$56:$G$56,1,MAX(1,AF$4-1))))*(AF$5-(AF$6+1)/2)/AF$6)*AF28</f>
        <v>5.083333333333333</v>
      </c>
      <c r="AG34" s="34">
        <f>(INDEX(Assumptions!$C$56:$G$56,1,AG$4)+(INDEX(Assumptions!$C$56:$G$56,1,AG$4)-IF(AG$4=1,Assumptions!$H$56,INDEX(Assumptions!$C$56:$G$56,1,MAX(1,AG$4-1))))*(AG$5-(AG$6+1)/2)/AG$6)*AG28</f>
        <v>5.25</v>
      </c>
      <c r="AH34" s="34">
        <f>(INDEX(Assumptions!$C$56:$G$56,1,AH$4)+(INDEX(Assumptions!$C$56:$G$56,1,AH$4)-IF(AH$4=1,Assumptions!$H$56,INDEX(Assumptions!$C$56:$G$56,1,MAX(1,AH$4-1))))*(AH$5-(AH$6+1)/2)/AH$6)*AH28</f>
        <v>5.416666666666667</v>
      </c>
      <c r="AI34" s="34">
        <f>(INDEX(Assumptions!$C$56:$G$56,1,AI$4)+(INDEX(Assumptions!$C$56:$G$56,1,AI$4)-IF(AI$4=1,Assumptions!$H$56,INDEX(Assumptions!$C$56:$G$56,1,MAX(1,AI$4-1))))*(AI$5-(AI$6+1)/2)/AI$6)*AI28</f>
        <v>5.583333333333333</v>
      </c>
      <c r="AJ34" s="34">
        <f>(INDEX(Assumptions!$C$56:$G$56,1,AJ$4)+(INDEX(Assumptions!$C$56:$G$56,1,AJ$4)-IF(AJ$4=1,Assumptions!$H$56,INDEX(Assumptions!$C$56:$G$56,1,MAX(1,AJ$4-1))))*(AJ$5-(AJ$6+1)/2)/AJ$6)*AJ28</f>
        <v>5.75</v>
      </c>
      <c r="AK34" s="34">
        <f>(INDEX(Assumptions!$C$56:$G$56,1,AK$4)+(INDEX(Assumptions!$C$56:$G$56,1,AK$4)-IF(AK$4=1,Assumptions!$H$56,INDEX(Assumptions!$C$56:$G$56,1,MAX(1,AK$4-1))))*(AK$5-(AK$6+1)/2)/AK$6)*AK28</f>
        <v>5.916666666666667</v>
      </c>
      <c r="AL34" s="34">
        <f>(INDEX(Assumptions!$C$56:$G$56,1,AL$4)+(INDEX(Assumptions!$C$56:$G$56,1,AL$4)-IF(AL$4=1,Assumptions!$H$56,INDEX(Assumptions!$C$56:$G$56,1,MAX(1,AL$4-1))))*(AL$5-(AL$6+1)/2)/AL$6)*AL28</f>
        <v>6.083333333333333</v>
      </c>
      <c r="AM34" s="34">
        <f>(INDEX(Assumptions!$C$56:$G$56,1,AM$4)+(INDEX(Assumptions!$C$56:$G$56,1,AM$4)-IF(AM$4=1,Assumptions!$H$56,INDEX(Assumptions!$C$56:$G$56,1,MAX(1,AM$4-1))))*(AM$5-(AM$6+1)/2)/AM$6)*AM28</f>
        <v>6.25</v>
      </c>
      <c r="AN34" s="34">
        <f>(INDEX(Assumptions!$C$56:$G$56,1,AN$4)+(INDEX(Assumptions!$C$56:$G$56,1,AN$4)-IF(AN$4=1,Assumptions!$H$56,INDEX(Assumptions!$C$56:$G$56,1,MAX(1,AN$4-1))))*(AN$5-(AN$6+1)/2)/AN$6)*AN28</f>
        <v>6.416666666666667</v>
      </c>
      <c r="AO34" s="34">
        <f>(INDEX(Assumptions!$C$56:$G$56,1,AO$4)+(INDEX(Assumptions!$C$56:$G$56,1,AO$4)-IF(AO$4=1,Assumptions!$H$56,INDEX(Assumptions!$C$56:$G$56,1,MAX(1,AO$4-1))))*(AO$5-(AO$6+1)/2)/AO$6)*AO28</f>
        <v>6.583333333333333</v>
      </c>
      <c r="AP34" s="34">
        <f>(INDEX(Assumptions!$C$56:$G$56,1,AP$4)+(INDEX(Assumptions!$C$56:$G$56,1,AP$4)-IF(AP$4=1,Assumptions!$H$56,INDEX(Assumptions!$C$56:$G$56,1,MAX(1,AP$4-1))))*(AP$5-(AP$6+1)/2)/AP$6)*AP28</f>
        <v>6.75</v>
      </c>
      <c r="AQ34" s="34">
        <f>(INDEX(Assumptions!$C$56:$G$56,1,AQ$4)+(INDEX(Assumptions!$C$56:$G$56,1,AQ$4)-IF(AQ$4=1,Assumptions!$H$56,INDEX(Assumptions!$C$56:$G$56,1,MAX(1,AQ$4-1))))*(AQ$5-(AQ$6+1)/2)/AQ$6)*AQ28</f>
        <v>6.916666666666667</v>
      </c>
      <c r="AR34" s="34">
        <f>(INDEX(Assumptions!$C$56:$G$56,1,AR$4)+(INDEX(Assumptions!$C$56:$G$56,1,AR$4)-IF(AR$4=1,Assumptions!$H$56,INDEX(Assumptions!$C$56:$G$56,1,MAX(1,AR$4-1))))*(AR$5-(AR$6+1)/2)/AR$6)*AR28</f>
        <v>7.083333333333333</v>
      </c>
      <c r="AS34" s="34">
        <f>(INDEX(Assumptions!$C$56:$G$56,1,AS$4)+(INDEX(Assumptions!$C$56:$G$56,1,AS$4)-IF(AS$4=1,Assumptions!$H$56,INDEX(Assumptions!$C$56:$G$56,1,MAX(1,AS$4-1))))*(AS$5-(AS$6+1)/2)/AS$6)*AS28</f>
        <v>7.25</v>
      </c>
      <c r="AT34" s="34">
        <f>(INDEX(Assumptions!$C$56:$G$56,1,AT$4)+(INDEX(Assumptions!$C$56:$G$56,1,AT$4)-IF(AT$4=1,Assumptions!$H$56,INDEX(Assumptions!$C$56:$G$56,1,MAX(1,AT$4-1))))*(AT$5-(AT$6+1)/2)/AT$6)*AT28</f>
        <v>7.416666666666667</v>
      </c>
      <c r="AU34" s="34">
        <f>(INDEX(Assumptions!$C$56:$G$56,1,AU$4)+(INDEX(Assumptions!$C$56:$G$56,1,AU$4)-IF(AU$4=1,Assumptions!$H$56,INDEX(Assumptions!$C$56:$G$56,1,MAX(1,AU$4-1))))*(AU$5-(AU$6+1)/2)/AU$6)*AU28</f>
        <v>7.583333333333333</v>
      </c>
      <c r="AV34" s="34">
        <f>(INDEX(Assumptions!$C$56:$G$56,1,AV$4)+(INDEX(Assumptions!$C$56:$G$56,1,AV$4)-IF(AV$4=1,Assumptions!$H$56,INDEX(Assumptions!$C$56:$G$56,1,MAX(1,AV$4-1))))*(AV$5-(AV$6+1)/2)/AV$6)*AV28</f>
        <v>7.75</v>
      </c>
      <c r="AW34" s="34">
        <f>(INDEX(Assumptions!$C$56:$G$56,1,AW$4)+(INDEX(Assumptions!$C$56:$G$56,1,AW$4)-IF(AW$4=1,Assumptions!$H$56,INDEX(Assumptions!$C$56:$G$56,1,MAX(1,AW$4-1))))*(AW$5-(AW$6+1)/2)/AW$6)*AW28</f>
        <v>7.916666666666667</v>
      </c>
      <c r="AX34" s="34">
        <f>(INDEX(Assumptions!$C$56:$G$56,1,AX$4)+(INDEX(Assumptions!$C$56:$G$56,1,AX$4)-IF(AX$4=1,Assumptions!$H$56,INDEX(Assumptions!$C$56:$G$56,1,MAX(1,AX$4-1))))*(AX$5-(AX$6+1)/2)/AX$6)*AX28</f>
        <v>8.083333333333334</v>
      </c>
      <c r="AY34" s="34">
        <f>(INDEX(Assumptions!$C$56:$G$56,1,AY$4)+(INDEX(Assumptions!$C$56:$G$56,1,AY$4)-IF(AY$4=1,Assumptions!$H$56,INDEX(Assumptions!$C$56:$G$56,1,MAX(1,AY$4-1))))*(AY$5-(AY$6+1)/2)/AY$6)*AY28</f>
        <v>8.25</v>
      </c>
      <c r="AZ34" s="34">
        <f>(INDEX(Assumptions!$C$56:$G$56,1,AZ$4)+(INDEX(Assumptions!$C$56:$G$56,1,AZ$4)-IF(AZ$4=1,Assumptions!$H$56,INDEX(Assumptions!$C$56:$G$56,1,MAX(1,AZ$4-1))))*(AZ$5-(AZ$6+1)/2)/AZ$6)*AZ28</f>
        <v>8.416666666666666</v>
      </c>
      <c r="BA34" s="34">
        <f>(INDEX(Assumptions!$C$56:$G$56,1,BA$4)+(INDEX(Assumptions!$C$56:$G$56,1,BA$4)-IF(BA$4=1,Assumptions!$H$56,INDEX(Assumptions!$C$56:$G$56,1,MAX(1,BA$4-1))))*(BA$5-(BA$6+1)/2)/BA$6)*BA28</f>
        <v>8.583333333333334</v>
      </c>
      <c r="BB34" s="34">
        <f>(INDEX(Assumptions!$C$56:$G$56,1,BB$4)+(INDEX(Assumptions!$C$56:$G$56,1,BB$4)-IF(BB$4=1,Assumptions!$H$56,INDEX(Assumptions!$C$56:$G$56,1,MAX(1,BB$4-1))))*(BB$5-(BB$6+1)/2)/BB$6)*BB28</f>
        <v>8.75</v>
      </c>
      <c r="BC34" s="34">
        <f>(INDEX(Assumptions!$C$56:$G$56,1,BC$4)+(INDEX(Assumptions!$C$56:$G$56,1,BC$4)-IF(BC$4=1,Assumptions!$H$56,INDEX(Assumptions!$C$56:$G$56,1,MAX(1,BC$4-1))))*(BC$5-(BC$6+1)/2)/BC$6)*BC28</f>
        <v>8.916666666666666</v>
      </c>
    </row>
    <row r="35">
      <c r="A35" s="4" t="inlineStr">
        <is>
          <t>Heads: lead-verification callers</t>
        </is>
      </c>
      <c r="B35" s="2" t="inlineStr">
        <is>
          <t>people</t>
        </is>
      </c>
      <c r="C35" s="34">
        <f>C11/Assumptions!$C$64</f>
        <v>0.4266666666666667</v>
      </c>
      <c r="D35" s="34">
        <f>D11/Assumptions!$C$64</f>
        <v>0.7466666666666668</v>
      </c>
      <c r="E35" s="34">
        <f>E11/Assumptions!$C$64</f>
        <v>1.0666666666666667</v>
      </c>
      <c r="F35" s="34">
        <f>F11/Assumptions!$C$64</f>
        <v>1.3866666666666667</v>
      </c>
      <c r="G35" s="34">
        <f>G11/Assumptions!$C$64</f>
        <v>1.7066666666666668</v>
      </c>
      <c r="H35" s="34">
        <f>H11/Assumptions!$C$64</f>
        <v>1.9468587493364267</v>
      </c>
      <c r="I35" s="34">
        <f>I11/Assumptions!$C$64</f>
        <v>2.220854876875627</v>
      </c>
      <c r="J35" s="34">
        <f>J11/Assumptions!$C$64</f>
        <v>2.53341254768656</v>
      </c>
      <c r="K35" s="34">
        <f>K11/Assumptions!$C$64</f>
        <v>2.8899588188333327</v>
      </c>
      <c r="L35" s="34">
        <f>L11/Assumptions!$C$64</f>
        <v>3.2966845380864536</v>
      </c>
      <c r="M35" s="34">
        <f>M11/Assumptions!$C$64</f>
        <v>3.760651837954507</v>
      </c>
      <c r="N35" s="34">
        <f>N11/Assumptions!$C$64</f>
        <v>4.289916758161974</v>
      </c>
      <c r="O35" s="34">
        <f>O11/Assumptions!$C$64</f>
        <v>4.893669125714347</v>
      </c>
      <c r="P35" s="34">
        <f>P11/Assumptions!$C$64</f>
        <v>5.58239212134048</v>
      </c>
      <c r="Q35" s="34">
        <f>Q11/Assumptions!$C$64</f>
        <v>6.3680443029248</v>
      </c>
      <c r="R35" s="34">
        <f>R11/Assumptions!$C$64</f>
        <v>7.264267246471307</v>
      </c>
      <c r="S35" s="34">
        <f>S11/Assumptions!$C$64</f>
        <v>8.286622409947574</v>
      </c>
      <c r="T35" s="34">
        <f>T11/Assumptions!$C$64</f>
        <v>8.87727423580864</v>
      </c>
      <c r="U35" s="34">
        <f>U11/Assumptions!$C$64</f>
        <v>9.51002639665952</v>
      </c>
      <c r="V35" s="34">
        <f>V11/Assumptions!$C$64</f>
        <v>10.187879709781601</v>
      </c>
      <c r="W35" s="34">
        <f>W11/Assumptions!$C$64</f>
        <v>10.914048883969121</v>
      </c>
      <c r="X35" s="34">
        <f>X11/Assumptions!$C$64</f>
        <v>11.691977765236159</v>
      </c>
      <c r="Y35" s="34">
        <f>Y11/Assumptions!$C$64</f>
        <v>12.52535566920256</v>
      </c>
      <c r="Z35" s="34">
        <f>Z11/Assumptions!$C$64</f>
        <v>13.418134877615998</v>
      </c>
      <c r="AA35" s="34">
        <f>AA11/Assumptions!$C$64</f>
        <v>14.374549381986398</v>
      </c>
      <c r="AB35" s="34">
        <f>AB11/Assumptions!$C$64</f>
        <v>15.399134963224803</v>
      </c>
      <c r="AC35" s="34">
        <f>AC11/Assumptions!$C$64</f>
        <v>16.49675070251456</v>
      </c>
      <c r="AD35" s="34">
        <f>AD11/Assumptions!$C$64</f>
        <v>17.67260202542736</v>
      </c>
      <c r="AE35" s="34">
        <f>AE11/Assumptions!$C$64</f>
        <v>18.93226538857328</v>
      </c>
      <c r="AF35" s="34">
        <f>AF11/Assumptions!$C$64</f>
        <v>20.024826907808666</v>
      </c>
      <c r="AG35" s="34">
        <f>AG11/Assumptions!$C$64</f>
        <v>21.180439026051666</v>
      </c>
      <c r="AH35" s="34">
        <f>AH11/Assumptions!$C$64</f>
        <v>22.402740328374662</v>
      </c>
      <c r="AI35" s="34">
        <f>AI11/Assumptions!$C$64</f>
        <v>23.69557937884467</v>
      </c>
      <c r="AJ35" s="34">
        <f>AJ11/Assumptions!$C$64</f>
        <v>25.063026838193334</v>
      </c>
      <c r="AK35" s="34">
        <f>AK11/Assumptions!$C$64</f>
        <v>26.509388280786666</v>
      </c>
      <c r="AL35" s="34">
        <f>AL11/Assumptions!$C$64</f>
        <v>28.039217751249666</v>
      </c>
      <c r="AM35" s="34">
        <f>AM11/Assumptions!$C$64</f>
        <v>29.657332103427002</v>
      </c>
      <c r="AN35" s="34">
        <f>AN11/Assumptions!$C$64</f>
        <v>31.368826166834</v>
      </c>
      <c r="AO35" s="34">
        <f>AO11/Assumptions!$C$64</f>
        <v>33.179088788345666</v>
      </c>
      <c r="AP35" s="34">
        <f>AP11/Assumptions!$C$64</f>
        <v>35.09381979963434</v>
      </c>
      <c r="AQ35" s="34">
        <f>AQ11/Assumptions!$C$64</f>
        <v>37.11904796378266</v>
      </c>
      <c r="AR35" s="34">
        <f>AR11/Assumptions!$C$64</f>
        <v>38.1364236693456</v>
      </c>
      <c r="AS35" s="34">
        <f>AS11/Assumptions!$C$64</f>
        <v>39.18168406977707</v>
      </c>
      <c r="AT35" s="34">
        <f>AT11/Assumptions!$C$64</f>
        <v>40.25559344144372</v>
      </c>
      <c r="AU35" s="34">
        <f>AU11/Assumptions!$C$64</f>
        <v>41.358937008345066</v>
      </c>
      <c r="AV35" s="34">
        <f>AV11/Assumptions!$C$64</f>
        <v>42.4925215162576</v>
      </c>
      <c r="AW35" s="34">
        <f>AW11/Assumptions!$C$64</f>
        <v>43.6571758226112</v>
      </c>
      <c r="AX35" s="34">
        <f>AX11/Assumptions!$C$64</f>
        <v>44.85375150253601</v>
      </c>
      <c r="AY35" s="34">
        <f>AY11/Assumptions!$C$64</f>
        <v>46.083123471520004</v>
      </c>
      <c r="AZ35" s="34">
        <f>AZ11/Assumptions!$C$64</f>
        <v>47.34619062513173</v>
      </c>
      <c r="BA35" s="34">
        <f>BA11/Assumptions!$C$64</f>
        <v>48.6438764962768</v>
      </c>
      <c r="BB35" s="34">
        <f>BB11/Assumptions!$C$64</f>
        <v>49.97712993047094</v>
      </c>
      <c r="BC35" s="34">
        <f>BC11/Assumptions!$C$64</f>
        <v>51.34692577961707</v>
      </c>
    </row>
    <row r="36">
      <c r="A36" s="3" t="inlineStr">
        <is>
          <t>Total heads</t>
        </is>
      </c>
      <c r="B36" s="2" t="inlineStr">
        <is>
          <t>people</t>
        </is>
      </c>
      <c r="C36" s="35">
        <f>SUM(C29:C35)</f>
        <v>8.226666666666667</v>
      </c>
      <c r="D36" s="35">
        <f>SUM(D29:D35)</f>
        <v>10.146666666666667</v>
      </c>
      <c r="E36" s="35">
        <f>SUM(E29:E35)</f>
        <v>12.066666666666666</v>
      </c>
      <c r="F36" s="35">
        <f>SUM(F29:F35)</f>
        <v>13.986666666666666</v>
      </c>
      <c r="G36" s="35">
        <f>SUM(G29:G35)</f>
        <v>15.906666666666668</v>
      </c>
      <c r="H36" s="35">
        <f>SUM(H29:H35)</f>
        <v>21.613525416003096</v>
      </c>
      <c r="I36" s="35">
        <f>SUM(I29:I35)</f>
        <v>23.220854876875627</v>
      </c>
      <c r="J36" s="35">
        <f>SUM(J29:J35)</f>
        <v>24.86674588101989</v>
      </c>
      <c r="K36" s="35">
        <f>SUM(K29:K35)</f>
        <v>26.5566254855</v>
      </c>
      <c r="L36" s="35">
        <f>SUM(L29:L35)</f>
        <v>28.296684538086453</v>
      </c>
      <c r="M36" s="35">
        <f>SUM(M29:M35)</f>
        <v>30.09398517128784</v>
      </c>
      <c r="N36" s="35">
        <f>SUM(N29:N35)</f>
        <v>31.956583424828644</v>
      </c>
      <c r="O36" s="35">
        <f>SUM(O29:O35)</f>
        <v>33.89366912571435</v>
      </c>
      <c r="P36" s="35">
        <f>SUM(P29:P35)</f>
        <v>35.91572545467381</v>
      </c>
      <c r="Q36" s="35">
        <f>SUM(Q29:Q35)</f>
        <v>38.034710969591465</v>
      </c>
      <c r="R36" s="35">
        <f>SUM(R29:R35)</f>
        <v>40.264267246471306</v>
      </c>
      <c r="S36" s="35">
        <f>SUM(S29:S35)</f>
        <v>42.61995574328091</v>
      </c>
      <c r="T36" s="35">
        <f>SUM(T29:T35)</f>
        <v>46.16894090247531</v>
      </c>
      <c r="U36" s="35">
        <f>SUM(U29:U35)</f>
        <v>48.38502639665952</v>
      </c>
      <c r="V36" s="35">
        <f>SUM(V29:V35)</f>
        <v>50.646213043114926</v>
      </c>
      <c r="W36" s="35">
        <f>SUM(W29:W35)</f>
        <v>52.95571555063579</v>
      </c>
      <c r="X36" s="35">
        <f>SUM(X29:X35)</f>
        <v>55.31697776523616</v>
      </c>
      <c r="Y36" s="35">
        <f>SUM(Y29:Y35)</f>
        <v>57.7336890025359</v>
      </c>
      <c r="Z36" s="35">
        <f>SUM(Z29:Z35)</f>
        <v>60.20980154428266</v>
      </c>
      <c r="AA36" s="35">
        <f>SUM(AA29:AA35)</f>
        <v>62.7495493819864</v>
      </c>
      <c r="AB36" s="35">
        <f>SUM(AB29:AB35)</f>
        <v>65.35746829655814</v>
      </c>
      <c r="AC36" s="35">
        <f>SUM(AC29:AC35)</f>
        <v>68.03841736918122</v>
      </c>
      <c r="AD36" s="35">
        <f>SUM(AD29:AD35)</f>
        <v>70.79760202542735</v>
      </c>
      <c r="AE36" s="35">
        <f>SUM(AE29:AE35)</f>
        <v>73.64059872190661</v>
      </c>
      <c r="AF36" s="35">
        <f>SUM(AF29:AF35)</f>
        <v>75.233160241142</v>
      </c>
      <c r="AG36" s="35">
        <f>SUM(AG29:AG35)</f>
        <v>77.80543902605166</v>
      </c>
      <c r="AH36" s="35">
        <f>SUM(AH29:AH35)</f>
        <v>80.44440699504133</v>
      </c>
      <c r="AI36" s="35">
        <f>SUM(AI29:AI35)</f>
        <v>83.153912712178</v>
      </c>
      <c r="AJ36" s="35">
        <f>SUM(AJ29:AJ35)</f>
        <v>85.93802683819334</v>
      </c>
      <c r="AK36" s="35">
        <f>SUM(AK29:AK35)</f>
        <v>88.80105494745334</v>
      </c>
      <c r="AL36" s="35">
        <f>SUM(AL29:AL35)</f>
        <v>91.747551084583</v>
      </c>
      <c r="AM36" s="35">
        <f>SUM(AM29:AM35)</f>
        <v>94.782332103427</v>
      </c>
      <c r="AN36" s="35">
        <f>SUM(AN29:AN35)</f>
        <v>97.91049283350067</v>
      </c>
      <c r="AO36" s="35">
        <f>SUM(AO29:AO35)</f>
        <v>101.137422121679</v>
      </c>
      <c r="AP36" s="35">
        <f>SUM(AP29:AP35)</f>
        <v>104.46881979963433</v>
      </c>
      <c r="AQ36" s="35">
        <f>SUM(AQ29:AQ35)</f>
        <v>107.91071463044933</v>
      </c>
      <c r="AR36" s="35">
        <f>SUM(AR29:AR35)</f>
        <v>110.34475700267893</v>
      </c>
      <c r="AS36" s="35">
        <f>SUM(AS29:AS35)</f>
        <v>112.80668406977708</v>
      </c>
      <c r="AT36" s="35">
        <f>SUM(AT29:AT35)</f>
        <v>115.2972601081104</v>
      </c>
      <c r="AU36" s="35">
        <f>SUM(AU29:AU35)</f>
        <v>117.81727034167841</v>
      </c>
      <c r="AV36" s="35">
        <f>SUM(AV29:AV35)</f>
        <v>120.3675215162576</v>
      </c>
      <c r="AW36" s="35">
        <f>SUM(AW29:AW35)</f>
        <v>122.94884248927787</v>
      </c>
      <c r="AX36" s="35">
        <f>SUM(AX29:AX35)</f>
        <v>125.56208483586934</v>
      </c>
      <c r="AY36" s="35">
        <f>SUM(AY29:AY35)</f>
        <v>128.20812347152</v>
      </c>
      <c r="AZ36" s="35">
        <f>SUM(AZ29:AZ35)</f>
        <v>130.88785729179838</v>
      </c>
      <c r="BA36" s="35">
        <f>SUM(BA29:BA35)</f>
        <v>133.60220982961016</v>
      </c>
      <c r="BB36" s="35">
        <f>SUM(BB29:BB35)</f>
        <v>136.35212993047094</v>
      </c>
      <c r="BC36" s="35">
        <f>SUM(BC29:BC35)</f>
        <v>139.13859244628372</v>
      </c>
    </row>
    <row r="37">
      <c r="A37" s="4" t="inlineStr">
        <is>
          <t>Pay index (April rises)</t>
        </is>
      </c>
      <c r="B37" s="2" t="inlineStr">
        <is>
          <t>x FY27</t>
        </is>
      </c>
      <c r="C37" s="37">
        <f>(1+Assumptions!$C$66)^(C$4-1)</f>
        <v>1.0</v>
      </c>
      <c r="D37" s="37">
        <f>(1+Assumptions!$C$66)^(D$4-1)</f>
        <v>1.0</v>
      </c>
      <c r="E37" s="37">
        <f>(1+Assumptions!$C$66)^(E$4-1)</f>
        <v>1.0</v>
      </c>
      <c r="F37" s="37">
        <f>(1+Assumptions!$C$66)^(F$4-1)</f>
        <v>1.0</v>
      </c>
      <c r="G37" s="37">
        <f>(1+Assumptions!$C$66)^(G$4-1)</f>
        <v>1.0</v>
      </c>
      <c r="H37" s="37">
        <f>(1+Assumptions!$C$66)^(H$4-1)</f>
        <v>1.09</v>
      </c>
      <c r="I37" s="37">
        <f>(1+Assumptions!$C$66)^(I$4-1)</f>
        <v>1.09</v>
      </c>
      <c r="J37" s="37">
        <f>(1+Assumptions!$C$66)^(J$4-1)</f>
        <v>1.09</v>
      </c>
      <c r="K37" s="37">
        <f>(1+Assumptions!$C$66)^(K$4-1)</f>
        <v>1.09</v>
      </c>
      <c r="L37" s="37">
        <f>(1+Assumptions!$C$66)^(L$4-1)</f>
        <v>1.09</v>
      </c>
      <c r="M37" s="37">
        <f>(1+Assumptions!$C$66)^(M$4-1)</f>
        <v>1.09</v>
      </c>
      <c r="N37" s="37">
        <f>(1+Assumptions!$C$66)^(N$4-1)</f>
        <v>1.09</v>
      </c>
      <c r="O37" s="37">
        <f>(1+Assumptions!$C$66)^(O$4-1)</f>
        <v>1.09</v>
      </c>
      <c r="P37" s="37">
        <f>(1+Assumptions!$C$66)^(P$4-1)</f>
        <v>1.09</v>
      </c>
      <c r="Q37" s="37">
        <f>(1+Assumptions!$C$66)^(Q$4-1)</f>
        <v>1.09</v>
      </c>
      <c r="R37" s="37">
        <f>(1+Assumptions!$C$66)^(R$4-1)</f>
        <v>1.09</v>
      </c>
      <c r="S37" s="37">
        <f>(1+Assumptions!$C$66)^(S$4-1)</f>
        <v>1.09</v>
      </c>
      <c r="T37" s="37">
        <f>(1+Assumptions!$C$66)^(T$4-1)</f>
        <v>1.1881000000000002</v>
      </c>
      <c r="U37" s="37">
        <f>(1+Assumptions!$C$66)^(U$4-1)</f>
        <v>1.1881000000000002</v>
      </c>
      <c r="V37" s="37">
        <f>(1+Assumptions!$C$66)^(V$4-1)</f>
        <v>1.1881000000000002</v>
      </c>
      <c r="W37" s="37">
        <f>(1+Assumptions!$C$66)^(W$4-1)</f>
        <v>1.1881000000000002</v>
      </c>
      <c r="X37" s="37">
        <f>(1+Assumptions!$C$66)^(X$4-1)</f>
        <v>1.1881000000000002</v>
      </c>
      <c r="Y37" s="37">
        <f>(1+Assumptions!$C$66)^(Y$4-1)</f>
        <v>1.1881000000000002</v>
      </c>
      <c r="Z37" s="37">
        <f>(1+Assumptions!$C$66)^(Z$4-1)</f>
        <v>1.1881000000000002</v>
      </c>
      <c r="AA37" s="37">
        <f>(1+Assumptions!$C$66)^(AA$4-1)</f>
        <v>1.1881000000000002</v>
      </c>
      <c r="AB37" s="37">
        <f>(1+Assumptions!$C$66)^(AB$4-1)</f>
        <v>1.1881000000000002</v>
      </c>
      <c r="AC37" s="37">
        <f>(1+Assumptions!$C$66)^(AC$4-1)</f>
        <v>1.1881000000000002</v>
      </c>
      <c r="AD37" s="37">
        <f>(1+Assumptions!$C$66)^(AD$4-1)</f>
        <v>1.1881000000000002</v>
      </c>
      <c r="AE37" s="37">
        <f>(1+Assumptions!$C$66)^(AE$4-1)</f>
        <v>1.1881000000000002</v>
      </c>
      <c r="AF37" s="37">
        <f>(1+Assumptions!$C$66)^(AF$4-1)</f>
        <v>1.2950290000000002</v>
      </c>
      <c r="AG37" s="37">
        <f>(1+Assumptions!$C$66)^(AG$4-1)</f>
        <v>1.2950290000000002</v>
      </c>
      <c r="AH37" s="37">
        <f>(1+Assumptions!$C$66)^(AH$4-1)</f>
        <v>1.2950290000000002</v>
      </c>
      <c r="AI37" s="37">
        <f>(1+Assumptions!$C$66)^(AI$4-1)</f>
        <v>1.2950290000000002</v>
      </c>
      <c r="AJ37" s="37">
        <f>(1+Assumptions!$C$66)^(AJ$4-1)</f>
        <v>1.2950290000000002</v>
      </c>
      <c r="AK37" s="37">
        <f>(1+Assumptions!$C$66)^(AK$4-1)</f>
        <v>1.2950290000000002</v>
      </c>
      <c r="AL37" s="37">
        <f>(1+Assumptions!$C$66)^(AL$4-1)</f>
        <v>1.2950290000000002</v>
      </c>
      <c r="AM37" s="37">
        <f>(1+Assumptions!$C$66)^(AM$4-1)</f>
        <v>1.2950290000000002</v>
      </c>
      <c r="AN37" s="37">
        <f>(1+Assumptions!$C$66)^(AN$4-1)</f>
        <v>1.2950290000000002</v>
      </c>
      <c r="AO37" s="37">
        <f>(1+Assumptions!$C$66)^(AO$4-1)</f>
        <v>1.2950290000000002</v>
      </c>
      <c r="AP37" s="37">
        <f>(1+Assumptions!$C$66)^(AP$4-1)</f>
        <v>1.2950290000000002</v>
      </c>
      <c r="AQ37" s="37">
        <f>(1+Assumptions!$C$66)^(AQ$4-1)</f>
        <v>1.2950290000000002</v>
      </c>
      <c r="AR37" s="37">
        <f>(1+Assumptions!$C$66)^(AR$4-1)</f>
        <v>1.4115816100000005</v>
      </c>
      <c r="AS37" s="37">
        <f>(1+Assumptions!$C$66)^(AS$4-1)</f>
        <v>1.4115816100000005</v>
      </c>
      <c r="AT37" s="37">
        <f>(1+Assumptions!$C$66)^(AT$4-1)</f>
        <v>1.4115816100000005</v>
      </c>
      <c r="AU37" s="37">
        <f>(1+Assumptions!$C$66)^(AU$4-1)</f>
        <v>1.4115816100000005</v>
      </c>
      <c r="AV37" s="37">
        <f>(1+Assumptions!$C$66)^(AV$4-1)</f>
        <v>1.4115816100000005</v>
      </c>
      <c r="AW37" s="37">
        <f>(1+Assumptions!$C$66)^(AW$4-1)</f>
        <v>1.4115816100000005</v>
      </c>
      <c r="AX37" s="37">
        <f>(1+Assumptions!$C$66)^(AX$4-1)</f>
        <v>1.4115816100000005</v>
      </c>
      <c r="AY37" s="37">
        <f>(1+Assumptions!$C$66)^(AY$4-1)</f>
        <v>1.4115816100000005</v>
      </c>
      <c r="AZ37" s="37">
        <f>(1+Assumptions!$C$66)^(AZ$4-1)</f>
        <v>1.4115816100000005</v>
      </c>
      <c r="BA37" s="37">
        <f>(1+Assumptions!$C$66)^(BA$4-1)</f>
        <v>1.4115816100000005</v>
      </c>
      <c r="BB37" s="37">
        <f>(1+Assumptions!$C$66)^(BB$4-1)</f>
        <v>1.4115816100000005</v>
      </c>
      <c r="BC37" s="37">
        <f>(1+Assumptions!$C$66)^(BC$4-1)</f>
        <v>1.4115816100000005</v>
      </c>
    </row>
    <row r="38">
      <c r="A38" s="4" t="inlineStr">
        <is>
          <t>Payroll: Product &amp; engineering (incl. design, ML/PV)</t>
        </is>
      </c>
      <c r="B38" s="2" t="inlineStr">
        <is>
          <t>₹ lakh</t>
        </is>
      </c>
      <c r="C38" s="34">
        <f>C29*Assumptions!$C$57*C37/12*(1+Assumptions!$C$67)</f>
        <v>6.545</v>
      </c>
      <c r="D38" s="34">
        <f>D29*Assumptions!$C$57*D37/12*(1+Assumptions!$C$67)</f>
        <v>8.085</v>
      </c>
      <c r="E38" s="34">
        <f>E29*Assumptions!$C$57*E37/12*(1+Assumptions!$C$67)</f>
        <v>9.625</v>
      </c>
      <c r="F38" s="34">
        <f>F29*Assumptions!$C$57*F37/12*(1+Assumptions!$C$67)</f>
        <v>11.165</v>
      </c>
      <c r="G38" s="34">
        <f>G29*Assumptions!$C$57*G37/12*(1+Assumptions!$C$67)</f>
        <v>12.705</v>
      </c>
      <c r="H38" s="34">
        <f>H29*Assumptions!$C$57*H37/12*(1+Assumptions!$C$67)</f>
        <v>18.447114583333335</v>
      </c>
      <c r="I38" s="34">
        <f>I29*Assumptions!$C$57*I37/12*(1+Assumptions!$C$67)</f>
        <v>19.671093750000004</v>
      </c>
      <c r="J38" s="34">
        <f>J29*Assumptions!$C$57*J37/12*(1+Assumptions!$C$67)</f>
        <v>20.89507291666667</v>
      </c>
      <c r="K38" s="34">
        <f>K29*Assumptions!$C$57*K37/12*(1+Assumptions!$C$67)</f>
        <v>22.119052083333337</v>
      </c>
      <c r="L38" s="34">
        <f>L29*Assumptions!$C$57*L37/12*(1+Assumptions!$C$67)</f>
        <v>23.343031250000003</v>
      </c>
      <c r="M38" s="34">
        <f>M29*Assumptions!$C$57*M37/12*(1+Assumptions!$C$67)</f>
        <v>24.56701041666667</v>
      </c>
      <c r="N38" s="34">
        <f>N29*Assumptions!$C$57*N37/12*(1+Assumptions!$C$67)</f>
        <v>25.79098958333333</v>
      </c>
      <c r="O38" s="34">
        <f>O29*Assumptions!$C$57*O37/12*(1+Assumptions!$C$67)</f>
        <v>27.01496875</v>
      </c>
      <c r="P38" s="34">
        <f>P29*Assumptions!$C$57*P37/12*(1+Assumptions!$C$67)</f>
        <v>28.238947916666675</v>
      </c>
      <c r="Q38" s="34">
        <f>Q29*Assumptions!$C$57*Q37/12*(1+Assumptions!$C$67)</f>
        <v>29.462927083333334</v>
      </c>
      <c r="R38" s="34">
        <f>R29*Assumptions!$C$57*R37/12*(1+Assumptions!$C$67)</f>
        <v>30.686906250000007</v>
      </c>
      <c r="S38" s="34">
        <f>S29*Assumptions!$C$57*S37/12*(1+Assumptions!$C$67)</f>
        <v>31.910885416666673</v>
      </c>
      <c r="T38" s="34">
        <f>T29*Assumptions!$C$57*T37/12*(1+Assumptions!$C$67)</f>
        <v>34.87816062500001</v>
      </c>
      <c r="U38" s="34">
        <f>U29*Assumptions!$C$57*U37/12*(1+Assumptions!$C$67)</f>
        <v>36.02170687500001</v>
      </c>
      <c r="V38" s="34">
        <f>V29*Assumptions!$C$57*V37/12*(1+Assumptions!$C$67)</f>
        <v>37.165253125</v>
      </c>
      <c r="W38" s="34">
        <f>W29*Assumptions!$C$57*W37/12*(1+Assumptions!$C$67)</f>
        <v>38.30879937500001</v>
      </c>
      <c r="X38" s="34">
        <f>X29*Assumptions!$C$57*X37/12*(1+Assumptions!$C$67)</f>
        <v>39.45234562500001</v>
      </c>
      <c r="Y38" s="34">
        <f>Y29*Assumptions!$C$57*Y37/12*(1+Assumptions!$C$67)</f>
        <v>40.59589187500001</v>
      </c>
      <c r="Z38" s="34">
        <f>Z29*Assumptions!$C$57*Z37/12*(1+Assumptions!$C$67)</f>
        <v>41.73943812500001</v>
      </c>
      <c r="AA38" s="34">
        <f>AA29*Assumptions!$C$57*AA37/12*(1+Assumptions!$C$67)</f>
        <v>42.88298437500001</v>
      </c>
      <c r="AB38" s="34">
        <f>AB29*Assumptions!$C$57*AB37/12*(1+Assumptions!$C$67)</f>
        <v>44.02653062500001</v>
      </c>
      <c r="AC38" s="34">
        <f>AC29*Assumptions!$C$57*AC37/12*(1+Assumptions!$C$67)</f>
        <v>45.17007687500001</v>
      </c>
      <c r="AD38" s="34">
        <f>AD29*Assumptions!$C$57*AD37/12*(1+Assumptions!$C$67)</f>
        <v>46.31362312500001</v>
      </c>
      <c r="AE38" s="34">
        <f>AE29*Assumptions!$C$57*AE37/12*(1+Assumptions!$C$67)</f>
        <v>47.45716937500001</v>
      </c>
      <c r="AF38" s="34">
        <f>AF29*Assumptions!$C$57*AF37/12*(1+Assumptions!$C$67)</f>
        <v>52.974780031250006</v>
      </c>
      <c r="AG38" s="34">
        <f>AG29*Assumptions!$C$57*AG37/12*(1+Assumptions!$C$67)</f>
        <v>54.22124544375001</v>
      </c>
      <c r="AH38" s="34">
        <f>AH29*Assumptions!$C$57*AH37/12*(1+Assumptions!$C$67)</f>
        <v>55.46771085625001</v>
      </c>
      <c r="AI38" s="34">
        <f>AI29*Assumptions!$C$57*AI37/12*(1+Assumptions!$C$67)</f>
        <v>56.71417626875001</v>
      </c>
      <c r="AJ38" s="34">
        <f>AJ29*Assumptions!$C$57*AJ37/12*(1+Assumptions!$C$67)</f>
        <v>57.96064168125</v>
      </c>
      <c r="AK38" s="34">
        <f>AK29*Assumptions!$C$57*AK37/12*(1+Assumptions!$C$67)</f>
        <v>59.20710709375002</v>
      </c>
      <c r="AL38" s="34">
        <f>AL29*Assumptions!$C$57*AL37/12*(1+Assumptions!$C$67)</f>
        <v>60.45357250625001</v>
      </c>
      <c r="AM38" s="34">
        <f>AM29*Assumptions!$C$57*AM37/12*(1+Assumptions!$C$67)</f>
        <v>61.70003791875002</v>
      </c>
      <c r="AN38" s="34">
        <f>AN29*Assumptions!$C$57*AN37/12*(1+Assumptions!$C$67)</f>
        <v>62.946503331250014</v>
      </c>
      <c r="AO38" s="34">
        <f>AO29*Assumptions!$C$57*AO37/12*(1+Assumptions!$C$67)</f>
        <v>64.19296874375001</v>
      </c>
      <c r="AP38" s="34">
        <f>AP29*Assumptions!$C$57*AP37/12*(1+Assumptions!$C$67)</f>
        <v>65.43943415625002</v>
      </c>
      <c r="AQ38" s="34">
        <f>AQ29*Assumptions!$C$57*AQ37/12*(1+Assumptions!$C$67)</f>
        <v>66.68589956875002</v>
      </c>
      <c r="AR38" s="34">
        <f>AR29*Assumptions!$C$57*AR37/12*(1+Assumptions!$C$67)</f>
        <v>74.04627782956253</v>
      </c>
      <c r="AS38" s="34">
        <f>AS29*Assumptions!$C$57*AS37/12*(1+Assumptions!$C$67)</f>
        <v>75.40492512918753</v>
      </c>
      <c r="AT38" s="34">
        <f>AT29*Assumptions!$C$57*AT37/12*(1+Assumptions!$C$67)</f>
        <v>76.76357242881254</v>
      </c>
      <c r="AU38" s="34">
        <f>AU29*Assumptions!$C$57*AU37/12*(1+Assumptions!$C$67)</f>
        <v>78.12221972843753</v>
      </c>
      <c r="AV38" s="34">
        <f>AV29*Assumptions!$C$57*AV37/12*(1+Assumptions!$C$67)</f>
        <v>79.48086702806252</v>
      </c>
      <c r="AW38" s="34">
        <f>AW29*Assumptions!$C$57*AW37/12*(1+Assumptions!$C$67)</f>
        <v>80.83951432768754</v>
      </c>
      <c r="AX38" s="34">
        <f>AX29*Assumptions!$C$57*AX37/12*(1+Assumptions!$C$67)</f>
        <v>82.19816162731253</v>
      </c>
      <c r="AY38" s="34">
        <f>AY29*Assumptions!$C$57*AY37/12*(1+Assumptions!$C$67)</f>
        <v>83.55680892693753</v>
      </c>
      <c r="AZ38" s="34">
        <f>AZ29*Assumptions!$C$57*AZ37/12*(1+Assumptions!$C$67)</f>
        <v>84.91545622656254</v>
      </c>
      <c r="BA38" s="34">
        <f>BA29*Assumptions!$C$57*BA37/12*(1+Assumptions!$C$67)</f>
        <v>86.27410352618753</v>
      </c>
      <c r="BB38" s="34">
        <f>BB29*Assumptions!$C$57*BB37/12*(1+Assumptions!$C$67)</f>
        <v>87.63275082581252</v>
      </c>
      <c r="BC38" s="34">
        <f>BC29*Assumptions!$C$57*BC37/12*(1+Assumptions!$C$67)</f>
        <v>88.99139812543754</v>
      </c>
    </row>
    <row r="39">
      <c r="A39" s="4" t="inlineStr">
        <is>
          <t>Payroll: Growth &amp; content</t>
        </is>
      </c>
      <c r="B39" s="2" t="inlineStr">
        <is>
          <t>₹ lakh</t>
        </is>
      </c>
      <c r="C39" s="34">
        <f>C30*Assumptions!$C$58*C37/12*(1+Assumptions!$C$67)</f>
        <v>1.6800000000000004</v>
      </c>
      <c r="D39" s="34">
        <f>D30*Assumptions!$C$58*D37/12*(1+Assumptions!$C$67)</f>
        <v>1.8900000000000001</v>
      </c>
      <c r="E39" s="34">
        <f>E30*Assumptions!$C$58*E37/12*(1+Assumptions!$C$67)</f>
        <v>2.1</v>
      </c>
      <c r="F39" s="34">
        <f>F30*Assumptions!$C$58*F37/12*(1+Assumptions!$C$67)</f>
        <v>2.3100000000000005</v>
      </c>
      <c r="G39" s="34">
        <f>G30*Assumptions!$C$58*G37/12*(1+Assumptions!$C$67)</f>
        <v>2.52</v>
      </c>
      <c r="H39" s="34">
        <f>H30*Assumptions!$C$58*H37/12*(1+Assumptions!$C$67)</f>
        <v>3.5288750000000007</v>
      </c>
      <c r="I39" s="34">
        <f>I30*Assumptions!$C$58*I37/12*(1+Assumptions!$C$67)</f>
        <v>3.7196250000000006</v>
      </c>
      <c r="J39" s="34">
        <f>J30*Assumptions!$C$58*J37/12*(1+Assumptions!$C$67)</f>
        <v>3.9103750000000006</v>
      </c>
      <c r="K39" s="34">
        <f>K30*Assumptions!$C$58*K37/12*(1+Assumptions!$C$67)</f>
        <v>4.101125000000001</v>
      </c>
      <c r="L39" s="34">
        <f>L30*Assumptions!$C$58*L37/12*(1+Assumptions!$C$67)</f>
        <v>4.291875000000001</v>
      </c>
      <c r="M39" s="34">
        <f>M30*Assumptions!$C$58*M37/12*(1+Assumptions!$C$67)</f>
        <v>4.4826250000000005</v>
      </c>
      <c r="N39" s="34">
        <f>N30*Assumptions!$C$58*N37/12*(1+Assumptions!$C$67)</f>
        <v>4.673375000000001</v>
      </c>
      <c r="O39" s="34">
        <f>O30*Assumptions!$C$58*O37/12*(1+Assumptions!$C$67)</f>
        <v>4.8641250000000005</v>
      </c>
      <c r="P39" s="34">
        <f>P30*Assumptions!$C$58*P37/12*(1+Assumptions!$C$67)</f>
        <v>5.054875000000001</v>
      </c>
      <c r="Q39" s="34">
        <f>Q30*Assumptions!$C$58*Q37/12*(1+Assumptions!$C$67)</f>
        <v>5.245625</v>
      </c>
      <c r="R39" s="34">
        <f>R30*Assumptions!$C$58*R37/12*(1+Assumptions!$C$67)</f>
        <v>5.436375000000001</v>
      </c>
      <c r="S39" s="34">
        <f>S30*Assumptions!$C$58*S37/12*(1+Assumptions!$C$67)</f>
        <v>5.627125</v>
      </c>
      <c r="T39" s="34">
        <f>T30*Assumptions!$C$58*T37/12*(1+Assumptions!$C$67)</f>
        <v>7.017215625000001</v>
      </c>
      <c r="U39" s="34">
        <f>U30*Assumptions!$C$58*U37/12*(1+Assumptions!$C$67)</f>
        <v>7.329091875000001</v>
      </c>
      <c r="V39" s="34">
        <f>V30*Assumptions!$C$58*V37/12*(1+Assumptions!$C$67)</f>
        <v>7.640968125000001</v>
      </c>
      <c r="W39" s="34">
        <f>W30*Assumptions!$C$58*W37/12*(1+Assumptions!$C$67)</f>
        <v>7.952844375000002</v>
      </c>
      <c r="X39" s="34">
        <f>X30*Assumptions!$C$58*X37/12*(1+Assumptions!$C$67)</f>
        <v>8.264720625</v>
      </c>
      <c r="Y39" s="34">
        <f>Y30*Assumptions!$C$58*Y37/12*(1+Assumptions!$C$67)</f>
        <v>8.576596875</v>
      </c>
      <c r="Z39" s="34">
        <f>Z30*Assumptions!$C$58*Z37/12*(1+Assumptions!$C$67)</f>
        <v>8.888473125000003</v>
      </c>
      <c r="AA39" s="34">
        <f>AA30*Assumptions!$C$58*AA37/12*(1+Assumptions!$C$67)</f>
        <v>9.200349375000002</v>
      </c>
      <c r="AB39" s="34">
        <f>AB30*Assumptions!$C$58*AB37/12*(1+Assumptions!$C$67)</f>
        <v>9.512225625000001</v>
      </c>
      <c r="AC39" s="34">
        <f>AC30*Assumptions!$C$58*AC37/12*(1+Assumptions!$C$67)</f>
        <v>9.824101875000002</v>
      </c>
      <c r="AD39" s="34">
        <f>AD30*Assumptions!$C$58*AD37/12*(1+Assumptions!$C$67)</f>
        <v>10.135978125000001</v>
      </c>
      <c r="AE39" s="34">
        <f>AE30*Assumptions!$C$58*AE37/12*(1+Assumptions!$C$67)</f>
        <v>10.447854375000002</v>
      </c>
      <c r="AF39" s="34">
        <f>AF30*Assumptions!$C$58*AF37/12*(1+Assumptions!$C$67)</f>
        <v>10.991558637500003</v>
      </c>
      <c r="AG39" s="34">
        <f>AG30*Assumptions!$C$58*AG37/12*(1+Assumptions!$C$67)</f>
        <v>11.218188712500002</v>
      </c>
      <c r="AH39" s="34">
        <f>AH30*Assumptions!$C$58*AH37/12*(1+Assumptions!$C$67)</f>
        <v>11.444818787500001</v>
      </c>
      <c r="AI39" s="34">
        <f>AI30*Assumptions!$C$58*AI37/12*(1+Assumptions!$C$67)</f>
        <v>11.6714488625</v>
      </c>
      <c r="AJ39" s="34">
        <f>AJ30*Assumptions!$C$58*AJ37/12*(1+Assumptions!$C$67)</f>
        <v>11.898078937500001</v>
      </c>
      <c r="AK39" s="34">
        <f>AK30*Assumptions!$C$58*AK37/12*(1+Assumptions!$C$67)</f>
        <v>12.124709012500004</v>
      </c>
      <c r="AL39" s="34">
        <f>AL30*Assumptions!$C$58*AL37/12*(1+Assumptions!$C$67)</f>
        <v>12.351339087500005</v>
      </c>
      <c r="AM39" s="34">
        <f>AM30*Assumptions!$C$58*AM37/12*(1+Assumptions!$C$67)</f>
        <v>12.577969162500004</v>
      </c>
      <c r="AN39" s="34">
        <f>AN30*Assumptions!$C$58*AN37/12*(1+Assumptions!$C$67)</f>
        <v>12.804599237500003</v>
      </c>
      <c r="AO39" s="34">
        <f>AO30*Assumptions!$C$58*AO37/12*(1+Assumptions!$C$67)</f>
        <v>13.031229312500004</v>
      </c>
      <c r="AP39" s="34">
        <f>AP30*Assumptions!$C$58*AP37/12*(1+Assumptions!$C$67)</f>
        <v>13.257859387500003</v>
      </c>
      <c r="AQ39" s="34">
        <f>AQ30*Assumptions!$C$58*AQ37/12*(1+Assumptions!$C$67)</f>
        <v>13.484489462500003</v>
      </c>
      <c r="AR39" s="34">
        <f>AR30*Assumptions!$C$58*AR37/12*(1+Assumptions!$C$67)</f>
        <v>14.945120295875006</v>
      </c>
      <c r="AS39" s="34">
        <f>AS30*Assumptions!$C$58*AS37/12*(1+Assumptions!$C$67)</f>
        <v>15.192147077625005</v>
      </c>
      <c r="AT39" s="34">
        <f>AT30*Assumptions!$C$58*AT37/12*(1+Assumptions!$C$67)</f>
        <v>15.439173859375005</v>
      </c>
      <c r="AU39" s="34">
        <f>AU30*Assumptions!$C$58*AU37/12*(1+Assumptions!$C$67)</f>
        <v>15.686200641125005</v>
      </c>
      <c r="AV39" s="34">
        <f>AV30*Assumptions!$C$58*AV37/12*(1+Assumptions!$C$67)</f>
        <v>15.933227422875007</v>
      </c>
      <c r="AW39" s="34">
        <f>AW30*Assumptions!$C$58*AW37/12*(1+Assumptions!$C$67)</f>
        <v>16.180254204625008</v>
      </c>
      <c r="AX39" s="34">
        <f>AX30*Assumptions!$C$58*AX37/12*(1+Assumptions!$C$67)</f>
        <v>16.427280986375006</v>
      </c>
      <c r="AY39" s="34">
        <f>AY30*Assumptions!$C$58*AY37/12*(1+Assumptions!$C$67)</f>
        <v>16.674307768125008</v>
      </c>
      <c r="AZ39" s="34">
        <f>AZ30*Assumptions!$C$58*AZ37/12*(1+Assumptions!$C$67)</f>
        <v>16.921334549875006</v>
      </c>
      <c r="BA39" s="34">
        <f>BA30*Assumptions!$C$58*BA37/12*(1+Assumptions!$C$67)</f>
        <v>17.168361331625007</v>
      </c>
      <c r="BB39" s="34">
        <f>BB30*Assumptions!$C$58*BB37/12*(1+Assumptions!$C$67)</f>
        <v>17.415388113375005</v>
      </c>
      <c r="BC39" s="34">
        <f>BC30*Assumptions!$C$58*BC37/12*(1+Assumptions!$C$67)</f>
        <v>17.662414895125007</v>
      </c>
    </row>
    <row r="40">
      <c r="A40" s="4" t="inlineStr">
        <is>
          <t>Payroll: Installer network &amp; partnerships</t>
        </is>
      </c>
      <c r="B40" s="2" t="inlineStr">
        <is>
          <t>₹ lakh</t>
        </is>
      </c>
      <c r="C40" s="34">
        <f>C31*Assumptions!$C$59*C37/12*(1+Assumptions!$C$67)</f>
        <v>0.945</v>
      </c>
      <c r="D40" s="34">
        <f>D31*Assumptions!$C$59*D37/12*(1+Assumptions!$C$67)</f>
        <v>1.26</v>
      </c>
      <c r="E40" s="34">
        <f>E31*Assumptions!$C$59*E37/12*(1+Assumptions!$C$67)</f>
        <v>1.5750000000000002</v>
      </c>
      <c r="F40" s="34">
        <f>F31*Assumptions!$C$59*F37/12*(1+Assumptions!$C$67)</f>
        <v>1.89</v>
      </c>
      <c r="G40" s="34">
        <f>G31*Assumptions!$C$59*G37/12*(1+Assumptions!$C$67)</f>
        <v>2.205</v>
      </c>
      <c r="H40" s="34">
        <f>H31*Assumptions!$C$59*H37/12*(1+Assumptions!$C$67)</f>
        <v>3.111609375</v>
      </c>
      <c r="I40" s="34">
        <f>I31*Assumptions!$C$59*I37/12*(1+Assumptions!$C$67)</f>
        <v>3.326203125</v>
      </c>
      <c r="J40" s="34">
        <f>J31*Assumptions!$C$59*J37/12*(1+Assumptions!$C$67)</f>
        <v>3.5407968750000003</v>
      </c>
      <c r="K40" s="34">
        <f>K31*Assumptions!$C$59*K37/12*(1+Assumptions!$C$67)</f>
        <v>3.7553906250000004</v>
      </c>
      <c r="L40" s="34">
        <f>L31*Assumptions!$C$59*L37/12*(1+Assumptions!$C$67)</f>
        <v>3.9699843750000006</v>
      </c>
      <c r="M40" s="34">
        <f>M31*Assumptions!$C$59*M37/12*(1+Assumptions!$C$67)</f>
        <v>4.184578125000001</v>
      </c>
      <c r="N40" s="34">
        <f>N31*Assumptions!$C$59*N37/12*(1+Assumptions!$C$67)</f>
        <v>4.399171875000001</v>
      </c>
      <c r="O40" s="34">
        <f>O31*Assumptions!$C$59*O37/12*(1+Assumptions!$C$67)</f>
        <v>4.613765625000001</v>
      </c>
      <c r="P40" s="34">
        <f>P31*Assumptions!$C$59*P37/12*(1+Assumptions!$C$67)</f>
        <v>4.828359375000001</v>
      </c>
      <c r="Q40" s="34">
        <f>Q31*Assumptions!$C$59*Q37/12*(1+Assumptions!$C$67)</f>
        <v>5.042953125000001</v>
      </c>
      <c r="R40" s="34">
        <f>R31*Assumptions!$C$59*R37/12*(1+Assumptions!$C$67)</f>
        <v>5.257546875000001</v>
      </c>
      <c r="S40" s="34">
        <f>S31*Assumptions!$C$59*S37/12*(1+Assumptions!$C$67)</f>
        <v>5.472140625000001</v>
      </c>
      <c r="T40" s="34">
        <f>T31*Assumptions!$C$59*T37/12*(1+Assumptions!$C$67)</f>
        <v>6.705339375000001</v>
      </c>
      <c r="U40" s="34">
        <f>U31*Assumptions!$C$59*U37/12*(1+Assumptions!$C$67)</f>
        <v>7.017215625000001</v>
      </c>
      <c r="V40" s="34">
        <f>V31*Assumptions!$C$59*V37/12*(1+Assumptions!$C$67)</f>
        <v>7.329091875000001</v>
      </c>
      <c r="W40" s="34">
        <f>W31*Assumptions!$C$59*W37/12*(1+Assumptions!$C$67)</f>
        <v>7.640968125000001</v>
      </c>
      <c r="X40" s="34">
        <f>X31*Assumptions!$C$59*X37/12*(1+Assumptions!$C$67)</f>
        <v>7.952844375000002</v>
      </c>
      <c r="Y40" s="34">
        <f>Y31*Assumptions!$C$59*Y37/12*(1+Assumptions!$C$67)</f>
        <v>8.264720625</v>
      </c>
      <c r="Z40" s="34">
        <f>Z31*Assumptions!$C$59*Z37/12*(1+Assumptions!$C$67)</f>
        <v>8.576596875</v>
      </c>
      <c r="AA40" s="34">
        <f>AA31*Assumptions!$C$59*AA37/12*(1+Assumptions!$C$67)</f>
        <v>8.888473125000003</v>
      </c>
      <c r="AB40" s="34">
        <f>AB31*Assumptions!$C$59*AB37/12*(1+Assumptions!$C$67)</f>
        <v>9.200349375000002</v>
      </c>
      <c r="AC40" s="34">
        <f>AC31*Assumptions!$C$59*AC37/12*(1+Assumptions!$C$67)</f>
        <v>9.512225625000001</v>
      </c>
      <c r="AD40" s="34">
        <f>AD31*Assumptions!$C$59*AD37/12*(1+Assumptions!$C$67)</f>
        <v>9.824101875000002</v>
      </c>
      <c r="AE40" s="34">
        <f>AE31*Assumptions!$C$59*AE37/12*(1+Assumptions!$C$67)</f>
        <v>10.135978125000001</v>
      </c>
      <c r="AF40" s="34">
        <f>AF31*Assumptions!$C$59*AF37/12*(1+Assumptions!$C$67)</f>
        <v>10.835750460937502</v>
      </c>
      <c r="AG40" s="34">
        <f>AG31*Assumptions!$C$59*AG37/12*(1+Assumptions!$C$67)</f>
        <v>11.090709295312502</v>
      </c>
      <c r="AH40" s="34">
        <f>AH31*Assumptions!$C$59*AH37/12*(1+Assumptions!$C$67)</f>
        <v>11.345668129687501</v>
      </c>
      <c r="AI40" s="34">
        <f>AI31*Assumptions!$C$59*AI37/12*(1+Assumptions!$C$67)</f>
        <v>11.600626964062503</v>
      </c>
      <c r="AJ40" s="34">
        <f>AJ31*Assumptions!$C$59*AJ37/12*(1+Assumptions!$C$67)</f>
        <v>11.855585798437502</v>
      </c>
      <c r="AK40" s="34">
        <f>AK31*Assumptions!$C$59*AK37/12*(1+Assumptions!$C$67)</f>
        <v>12.110544632812502</v>
      </c>
      <c r="AL40" s="34">
        <f>AL31*Assumptions!$C$59*AL37/12*(1+Assumptions!$C$67)</f>
        <v>12.365503467187501</v>
      </c>
      <c r="AM40" s="34">
        <f>AM31*Assumptions!$C$59*AM37/12*(1+Assumptions!$C$67)</f>
        <v>12.620462301562501</v>
      </c>
      <c r="AN40" s="34">
        <f>AN31*Assumptions!$C$59*AN37/12*(1+Assumptions!$C$67)</f>
        <v>12.875421135937502</v>
      </c>
      <c r="AO40" s="34">
        <f>AO31*Assumptions!$C$59*AO37/12*(1+Assumptions!$C$67)</f>
        <v>13.130379970312502</v>
      </c>
      <c r="AP40" s="34">
        <f>AP31*Assumptions!$C$59*AP37/12*(1+Assumptions!$C$67)</f>
        <v>13.385338804687501</v>
      </c>
      <c r="AQ40" s="34">
        <f>AQ31*Assumptions!$C$59*AQ37/12*(1+Assumptions!$C$67)</f>
        <v>13.640297639062501</v>
      </c>
      <c r="AR40" s="34">
        <f>AR31*Assumptions!$C$59*AR37/12*(1+Assumptions!$C$67)</f>
        <v>15.145829556046882</v>
      </c>
      <c r="AS40" s="34">
        <f>AS31*Assumptions!$C$59*AS37/12*(1+Assumptions!$C$67)</f>
        <v>15.42373468551563</v>
      </c>
      <c r="AT40" s="34">
        <f>AT31*Assumptions!$C$59*AT37/12*(1+Assumptions!$C$67)</f>
        <v>15.701639814984382</v>
      </c>
      <c r="AU40" s="34">
        <f>AU31*Assumptions!$C$59*AU37/12*(1+Assumptions!$C$67)</f>
        <v>15.979544944453131</v>
      </c>
      <c r="AV40" s="34">
        <f>AV31*Assumptions!$C$59*AV37/12*(1+Assumptions!$C$67)</f>
        <v>16.25745007392188</v>
      </c>
      <c r="AW40" s="34">
        <f>AW31*Assumptions!$C$59*AW37/12*(1+Assumptions!$C$67)</f>
        <v>16.53535520339063</v>
      </c>
      <c r="AX40" s="34">
        <f>AX31*Assumptions!$C$59*AX37/12*(1+Assumptions!$C$67)</f>
        <v>16.813260332859382</v>
      </c>
      <c r="AY40" s="34">
        <f>AY31*Assumptions!$C$59*AY37/12*(1+Assumptions!$C$67)</f>
        <v>17.09116546232813</v>
      </c>
      <c r="AZ40" s="34">
        <f>AZ31*Assumptions!$C$59*AZ37/12*(1+Assumptions!$C$67)</f>
        <v>17.36907059179688</v>
      </c>
      <c r="BA40" s="34">
        <f>BA31*Assumptions!$C$59*BA37/12*(1+Assumptions!$C$67)</f>
        <v>17.646975721265633</v>
      </c>
      <c r="BB40" s="34">
        <f>BB31*Assumptions!$C$59*BB37/12*(1+Assumptions!$C$67)</f>
        <v>17.92488085073438</v>
      </c>
      <c r="BC40" s="34">
        <f>BC31*Assumptions!$C$59*BC37/12*(1+Assumptions!$C$67)</f>
        <v>18.202785980203135</v>
      </c>
    </row>
    <row r="41">
      <c r="A41" s="4" t="inlineStr">
        <is>
          <t>Payroll: Customer &amp; installer support</t>
        </is>
      </c>
      <c r="B41" s="2" t="inlineStr">
        <is>
          <t>₹ lakh</t>
        </is>
      </c>
      <c r="C41" s="34">
        <f>C32*Assumptions!$C$60*C37/12*(1+Assumptions!$C$67)</f>
        <v>0.23625</v>
      </c>
      <c r="D41" s="34">
        <f>D32*Assumptions!$C$60*D37/12*(1+Assumptions!$C$67)</f>
        <v>0.315</v>
      </c>
      <c r="E41" s="34">
        <f>E32*Assumptions!$C$60*E37/12*(1+Assumptions!$C$67)</f>
        <v>0.39375000000000004</v>
      </c>
      <c r="F41" s="34">
        <f>F32*Assumptions!$C$60*F37/12*(1+Assumptions!$C$67)</f>
        <v>0.4725</v>
      </c>
      <c r="G41" s="34">
        <f>G32*Assumptions!$C$60*G37/12*(1+Assumptions!$C$67)</f>
        <v>0.55125</v>
      </c>
      <c r="H41" s="34">
        <f>H32*Assumptions!$C$60*H37/12*(1+Assumptions!$C$67)</f>
        <v>0.894140625</v>
      </c>
      <c r="I41" s="34">
        <f>I32*Assumptions!$C$60*I37/12*(1+Assumptions!$C$67)</f>
        <v>0.9656718750000002</v>
      </c>
      <c r="J41" s="34">
        <f>J32*Assumptions!$C$60*J37/12*(1+Assumptions!$C$67)</f>
        <v>1.0372031250000002</v>
      </c>
      <c r="K41" s="34">
        <f>K32*Assumptions!$C$60*K37/12*(1+Assumptions!$C$67)</f>
        <v>1.108734375</v>
      </c>
      <c r="L41" s="34">
        <f>L32*Assumptions!$C$60*L37/12*(1+Assumptions!$C$67)</f>
        <v>1.1802656250000003</v>
      </c>
      <c r="M41" s="34">
        <f>M32*Assumptions!$C$60*M37/12*(1+Assumptions!$C$67)</f>
        <v>1.251796875</v>
      </c>
      <c r="N41" s="34">
        <f>N32*Assumptions!$C$60*N37/12*(1+Assumptions!$C$67)</f>
        <v>1.3233281250000002</v>
      </c>
      <c r="O41" s="34">
        <f>O32*Assumptions!$C$60*O37/12*(1+Assumptions!$C$67)</f>
        <v>1.3948593750000002</v>
      </c>
      <c r="P41" s="34">
        <f>P32*Assumptions!$C$60*P37/12*(1+Assumptions!$C$67)</f>
        <v>1.4663906250000003</v>
      </c>
      <c r="Q41" s="34">
        <f>Q32*Assumptions!$C$60*Q37/12*(1+Assumptions!$C$67)</f>
        <v>1.537921875</v>
      </c>
      <c r="R41" s="34">
        <f>R32*Assumptions!$C$60*R37/12*(1+Assumptions!$C$67)</f>
        <v>1.6094531250000002</v>
      </c>
      <c r="S41" s="34">
        <f>S32*Assumptions!$C$60*S37/12*(1+Assumptions!$C$67)</f>
        <v>1.680984375</v>
      </c>
      <c r="T41" s="34">
        <f>T32*Assumptions!$C$60*T37/12*(1+Assumptions!$C$67)</f>
        <v>2.1636414843750003</v>
      </c>
      <c r="U41" s="34">
        <f>U32*Assumptions!$C$60*U37/12*(1+Assumptions!$C$67)</f>
        <v>2.2805950781250006</v>
      </c>
      <c r="V41" s="34">
        <f>V32*Assumptions!$C$60*V37/12*(1+Assumptions!$C$67)</f>
        <v>2.3975486718750005</v>
      </c>
      <c r="W41" s="34">
        <f>W32*Assumptions!$C$60*W37/12*(1+Assumptions!$C$67)</f>
        <v>2.5145022656250005</v>
      </c>
      <c r="X41" s="34">
        <f>X32*Assumptions!$C$60*X37/12*(1+Assumptions!$C$67)</f>
        <v>2.6314558593750004</v>
      </c>
      <c r="Y41" s="34">
        <f>Y32*Assumptions!$C$60*Y37/12*(1+Assumptions!$C$67)</f>
        <v>2.7484094531250003</v>
      </c>
      <c r="Z41" s="34">
        <f>Z32*Assumptions!$C$60*Z37/12*(1+Assumptions!$C$67)</f>
        <v>2.8653630468750007</v>
      </c>
      <c r="AA41" s="34">
        <f>AA32*Assumptions!$C$60*AA37/12*(1+Assumptions!$C$67)</f>
        <v>2.9823166406250006</v>
      </c>
      <c r="AB41" s="34">
        <f>AB32*Assumptions!$C$60*AB37/12*(1+Assumptions!$C$67)</f>
        <v>3.099270234375001</v>
      </c>
      <c r="AC41" s="34">
        <f>AC32*Assumptions!$C$60*AC37/12*(1+Assumptions!$C$67)</f>
        <v>3.2162238281250004</v>
      </c>
      <c r="AD41" s="34">
        <f>AD32*Assumptions!$C$60*AD37/12*(1+Assumptions!$C$67)</f>
        <v>3.3331774218750003</v>
      </c>
      <c r="AE41" s="34">
        <f>AE32*Assumptions!$C$60*AE37/12*(1+Assumptions!$C$67)</f>
        <v>3.4501310156250007</v>
      </c>
      <c r="AF41" s="34">
        <f>AF32*Assumptions!$C$60*AF37/12*(1+Assumptions!$C$67)</f>
        <v>3.8881222242187508</v>
      </c>
      <c r="AG41" s="34">
        <f>AG32*Assumptions!$C$60*AG37/12*(1+Assumptions!$C$67)</f>
        <v>4.015601641406251</v>
      </c>
      <c r="AH41" s="34">
        <f>AH32*Assumptions!$C$60*AH37/12*(1+Assumptions!$C$67)</f>
        <v>4.143081058593751</v>
      </c>
      <c r="AI41" s="34">
        <f>AI32*Assumptions!$C$60*AI37/12*(1+Assumptions!$C$67)</f>
        <v>4.270560475781251</v>
      </c>
      <c r="AJ41" s="34">
        <f>AJ32*Assumptions!$C$60*AJ37/12*(1+Assumptions!$C$67)</f>
        <v>4.398039892968751</v>
      </c>
      <c r="AK41" s="34">
        <f>AK32*Assumptions!$C$60*AK37/12*(1+Assumptions!$C$67)</f>
        <v>4.525519310156251</v>
      </c>
      <c r="AL41" s="34">
        <f>AL32*Assumptions!$C$60*AL37/12*(1+Assumptions!$C$67)</f>
        <v>4.652998727343752</v>
      </c>
      <c r="AM41" s="34">
        <f>AM32*Assumptions!$C$60*AM37/12*(1+Assumptions!$C$67)</f>
        <v>4.780478144531251</v>
      </c>
      <c r="AN41" s="34">
        <f>AN32*Assumptions!$C$60*AN37/12*(1+Assumptions!$C$67)</f>
        <v>4.907957561718751</v>
      </c>
      <c r="AO41" s="34">
        <f>AO32*Assumptions!$C$60*AO37/12*(1+Assumptions!$C$67)</f>
        <v>5.035436978906251</v>
      </c>
      <c r="AP41" s="34">
        <f>AP32*Assumptions!$C$60*AP37/12*(1+Assumptions!$C$67)</f>
        <v>5.162916396093751</v>
      </c>
      <c r="AQ41" s="34">
        <f>AQ32*Assumptions!$C$60*AQ37/12*(1+Assumptions!$C$67)</f>
        <v>5.290395813281251</v>
      </c>
      <c r="AR41" s="34">
        <f>AR32*Assumptions!$C$60*AR37/12*(1+Assumptions!$C$67)</f>
        <v>5.90548400121094</v>
      </c>
      <c r="AS41" s="34">
        <f>AS32*Assumptions!$C$60*AS37/12*(1+Assumptions!$C$67)</f>
        <v>6.044436565945315</v>
      </c>
      <c r="AT41" s="34">
        <f>AT32*Assumptions!$C$60*AT37/12*(1+Assumptions!$C$67)</f>
        <v>6.183389130679691</v>
      </c>
      <c r="AU41" s="34">
        <f>AU32*Assumptions!$C$60*AU37/12*(1+Assumptions!$C$67)</f>
        <v>6.322341695414066</v>
      </c>
      <c r="AV41" s="34">
        <f>AV32*Assumptions!$C$60*AV37/12*(1+Assumptions!$C$67)</f>
        <v>6.461294260148439</v>
      </c>
      <c r="AW41" s="34">
        <f>AW32*Assumptions!$C$60*AW37/12*(1+Assumptions!$C$67)</f>
        <v>6.600246824882815</v>
      </c>
      <c r="AX41" s="34">
        <f>AX32*Assumptions!$C$60*AX37/12*(1+Assumptions!$C$67)</f>
        <v>6.73919938961719</v>
      </c>
      <c r="AY41" s="34">
        <f>AY32*Assumptions!$C$60*AY37/12*(1+Assumptions!$C$67)</f>
        <v>6.878151954351566</v>
      </c>
      <c r="AZ41" s="34">
        <f>AZ32*Assumptions!$C$60*AZ37/12*(1+Assumptions!$C$67)</f>
        <v>7.01710451908594</v>
      </c>
      <c r="BA41" s="34">
        <f>BA32*Assumptions!$C$60*BA37/12*(1+Assumptions!$C$67)</f>
        <v>7.156057083820315</v>
      </c>
      <c r="BB41" s="34">
        <f>BB32*Assumptions!$C$60*BB37/12*(1+Assumptions!$C$67)</f>
        <v>7.295009648554691</v>
      </c>
      <c r="BC41" s="34">
        <f>BC32*Assumptions!$C$60*BC37/12*(1+Assumptions!$C$67)</f>
        <v>7.433962213289066</v>
      </c>
    </row>
    <row r="42">
      <c r="A42" s="4" t="inlineStr">
        <is>
          <t>Payroll: State / DISCOM sales</t>
        </is>
      </c>
      <c r="B42" s="2" t="inlineStr">
        <is>
          <t>₹ lakh</t>
        </is>
      </c>
      <c r="C42" s="34">
        <f>C33*Assumptions!$C$61*C37/12*(1+Assumptions!$C$67)</f>
        <v>0.0</v>
      </c>
      <c r="D42" s="34">
        <f>D33*Assumptions!$C$61*D37/12*(1+Assumptions!$C$67)</f>
        <v>0.0</v>
      </c>
      <c r="E42" s="34">
        <f>E33*Assumptions!$C$61*E37/12*(1+Assumptions!$C$67)</f>
        <v>0.0</v>
      </c>
      <c r="F42" s="34">
        <f>F33*Assumptions!$C$61*F37/12*(1+Assumptions!$C$67)</f>
        <v>0.0</v>
      </c>
      <c r="G42" s="34">
        <f>G33*Assumptions!$C$61*G37/12*(1+Assumptions!$C$67)</f>
        <v>0.0</v>
      </c>
      <c r="H42" s="34">
        <f>H33*Assumptions!$C$61*H37/12*(1+Assumptions!$C$67)</f>
        <v>1.2398750000000003</v>
      </c>
      <c r="I42" s="34">
        <f>I33*Assumptions!$C$61*I37/12*(1+Assumptions!$C$67)</f>
        <v>1.430625</v>
      </c>
      <c r="J42" s="34">
        <f>J33*Assumptions!$C$61*J37/12*(1+Assumptions!$C$67)</f>
        <v>1.621375</v>
      </c>
      <c r="K42" s="34">
        <f>K33*Assumptions!$C$61*K37/12*(1+Assumptions!$C$67)</f>
        <v>1.812125</v>
      </c>
      <c r="L42" s="34">
        <f>L33*Assumptions!$C$61*L37/12*(1+Assumptions!$C$67)</f>
        <v>2.002875</v>
      </c>
      <c r="M42" s="34">
        <f>M33*Assumptions!$C$61*M37/12*(1+Assumptions!$C$67)</f>
        <v>2.1936250000000004</v>
      </c>
      <c r="N42" s="34">
        <f>N33*Assumptions!$C$61*N37/12*(1+Assumptions!$C$67)</f>
        <v>2.3843750000000004</v>
      </c>
      <c r="O42" s="34">
        <f>O33*Assumptions!$C$61*O37/12*(1+Assumptions!$C$67)</f>
        <v>2.5751250000000003</v>
      </c>
      <c r="P42" s="34">
        <f>P33*Assumptions!$C$61*P37/12*(1+Assumptions!$C$67)</f>
        <v>2.7658750000000003</v>
      </c>
      <c r="Q42" s="34">
        <f>Q33*Assumptions!$C$61*Q37/12*(1+Assumptions!$C$67)</f>
        <v>2.9566250000000003</v>
      </c>
      <c r="R42" s="34">
        <f>R33*Assumptions!$C$61*R37/12*(1+Assumptions!$C$67)</f>
        <v>3.1473750000000007</v>
      </c>
      <c r="S42" s="34">
        <f>S33*Assumptions!$C$61*S37/12*(1+Assumptions!$C$67)</f>
        <v>3.3381250000000007</v>
      </c>
      <c r="T42" s="34">
        <f>T33*Assumptions!$C$61*T37/12*(1+Assumptions!$C$67)</f>
        <v>3.8464737500000004</v>
      </c>
      <c r="U42" s="34">
        <f>U33*Assumptions!$C$61*U37/12*(1+Assumptions!$C$67)</f>
        <v>4.054391250000001</v>
      </c>
      <c r="V42" s="34">
        <f>V33*Assumptions!$C$61*V37/12*(1+Assumptions!$C$67)</f>
        <v>4.262308750000001</v>
      </c>
      <c r="W42" s="34">
        <f>W33*Assumptions!$C$61*W37/12*(1+Assumptions!$C$67)</f>
        <v>4.4702262500000005</v>
      </c>
      <c r="X42" s="34">
        <f>X33*Assumptions!$C$61*X37/12*(1+Assumptions!$C$67)</f>
        <v>4.678143750000001</v>
      </c>
      <c r="Y42" s="34">
        <f>Y33*Assumptions!$C$61*Y37/12*(1+Assumptions!$C$67)</f>
        <v>4.88606125</v>
      </c>
      <c r="Z42" s="34">
        <f>Z33*Assumptions!$C$61*Z37/12*(1+Assumptions!$C$67)</f>
        <v>5.0939787500000016</v>
      </c>
      <c r="AA42" s="34">
        <f>AA33*Assumptions!$C$61*AA37/12*(1+Assumptions!$C$67)</f>
        <v>5.30189625</v>
      </c>
      <c r="AB42" s="34">
        <f>AB33*Assumptions!$C$61*AB37/12*(1+Assumptions!$C$67)</f>
        <v>5.509813750000002</v>
      </c>
      <c r="AC42" s="34">
        <f>AC33*Assumptions!$C$61*AC37/12*(1+Assumptions!$C$67)</f>
        <v>5.717731250000002</v>
      </c>
      <c r="AD42" s="34">
        <f>AD33*Assumptions!$C$61*AD37/12*(1+Assumptions!$C$67)</f>
        <v>5.9256487500000015</v>
      </c>
      <c r="AE42" s="34">
        <f>AE33*Assumptions!$C$61*AE37/12*(1+Assumptions!$C$67)</f>
        <v>6.133566250000001</v>
      </c>
      <c r="AF42" s="34">
        <f>AF33*Assumptions!$C$61*AF37/12*(1+Assumptions!$C$67)</f>
        <v>6.912217287500002</v>
      </c>
      <c r="AG42" s="34">
        <f>AG33*Assumptions!$C$61*AG37/12*(1+Assumptions!$C$67)</f>
        <v>7.138847362500002</v>
      </c>
      <c r="AH42" s="34">
        <f>AH33*Assumptions!$C$61*AH37/12*(1+Assumptions!$C$67)</f>
        <v>7.365477437500002</v>
      </c>
      <c r="AI42" s="34">
        <f>AI33*Assumptions!$C$61*AI37/12*(1+Assumptions!$C$67)</f>
        <v>7.592107512500001</v>
      </c>
      <c r="AJ42" s="34">
        <f>AJ33*Assumptions!$C$61*AJ37/12*(1+Assumptions!$C$67)</f>
        <v>7.818737587500001</v>
      </c>
      <c r="AK42" s="34">
        <f>AK33*Assumptions!$C$61*AK37/12*(1+Assumptions!$C$67)</f>
        <v>8.045367662500002</v>
      </c>
      <c r="AL42" s="34">
        <f>AL33*Assumptions!$C$61*AL37/12*(1+Assumptions!$C$67)</f>
        <v>8.271997737500001</v>
      </c>
      <c r="AM42" s="34">
        <f>AM33*Assumptions!$C$61*AM37/12*(1+Assumptions!$C$67)</f>
        <v>8.498627812500002</v>
      </c>
      <c r="AN42" s="34">
        <f>AN33*Assumptions!$C$61*AN37/12*(1+Assumptions!$C$67)</f>
        <v>8.725257887500002</v>
      </c>
      <c r="AO42" s="34">
        <f>AO33*Assumptions!$C$61*AO37/12*(1+Assumptions!$C$67)</f>
        <v>8.9518879625</v>
      </c>
      <c r="AP42" s="34">
        <f>AP33*Assumptions!$C$61*AP37/12*(1+Assumptions!$C$67)</f>
        <v>9.178518037500004</v>
      </c>
      <c r="AQ42" s="34">
        <f>AQ33*Assumptions!$C$61*AQ37/12*(1+Assumptions!$C$67)</f>
        <v>9.405148112500003</v>
      </c>
      <c r="AR42" s="34">
        <f>AR33*Assumptions!$C$61*AR37/12*(1+Assumptions!$C$67)</f>
        <v>10.498638224375004</v>
      </c>
      <c r="AS42" s="34">
        <f>AS33*Assumptions!$C$61*AS37/12*(1+Assumptions!$C$67)</f>
        <v>10.745665006125005</v>
      </c>
      <c r="AT42" s="34">
        <f>AT33*Assumptions!$C$61*AT37/12*(1+Assumptions!$C$67)</f>
        <v>10.992691787875005</v>
      </c>
      <c r="AU42" s="34">
        <f>AU33*Assumptions!$C$61*AU37/12*(1+Assumptions!$C$67)</f>
        <v>11.239718569625003</v>
      </c>
      <c r="AV42" s="34">
        <f>AV33*Assumptions!$C$61*AV37/12*(1+Assumptions!$C$67)</f>
        <v>11.486745351375005</v>
      </c>
      <c r="AW42" s="34">
        <f>AW33*Assumptions!$C$61*AW37/12*(1+Assumptions!$C$67)</f>
        <v>11.733772133125004</v>
      </c>
      <c r="AX42" s="34">
        <f>AX33*Assumptions!$C$61*AX37/12*(1+Assumptions!$C$67)</f>
        <v>11.980798914875004</v>
      </c>
      <c r="AY42" s="34">
        <f>AY33*Assumptions!$C$61*AY37/12*(1+Assumptions!$C$67)</f>
        <v>12.227825696625004</v>
      </c>
      <c r="AZ42" s="34">
        <f>AZ33*Assumptions!$C$61*AZ37/12*(1+Assumptions!$C$67)</f>
        <v>12.474852478375004</v>
      </c>
      <c r="BA42" s="34">
        <f>BA33*Assumptions!$C$61*BA37/12*(1+Assumptions!$C$67)</f>
        <v>12.721879260125004</v>
      </c>
      <c r="BB42" s="34">
        <f>BB33*Assumptions!$C$61*BB37/12*(1+Assumptions!$C$67)</f>
        <v>12.968906041875004</v>
      </c>
      <c r="BC42" s="34">
        <f>BC33*Assumptions!$C$61*BC37/12*(1+Assumptions!$C$67)</f>
        <v>13.215932823625003</v>
      </c>
    </row>
    <row r="43">
      <c r="A43" s="4" t="inlineStr">
        <is>
          <t>Payroll: G&amp;A (founder-CEO, finance, HR, legal)</t>
        </is>
      </c>
      <c r="B43" s="2" t="inlineStr">
        <is>
          <t>₹ lakh</t>
        </is>
      </c>
      <c r="C43" s="34">
        <f>C34*Assumptions!$C$62*C37/12*(1+Assumptions!$C$67)</f>
        <v>1.3125</v>
      </c>
      <c r="D43" s="34">
        <f>D34*Assumptions!$C$62*D37/12*(1+Assumptions!$C$67)</f>
        <v>1.3125</v>
      </c>
      <c r="E43" s="34">
        <f>E34*Assumptions!$C$62*E37/12*(1+Assumptions!$C$67)</f>
        <v>1.3125</v>
      </c>
      <c r="F43" s="34">
        <f>F34*Assumptions!$C$62*F37/12*(1+Assumptions!$C$67)</f>
        <v>1.3125</v>
      </c>
      <c r="G43" s="34">
        <f>G34*Assumptions!$C$62*G37/12*(1+Assumptions!$C$67)</f>
        <v>1.3125</v>
      </c>
      <c r="H43" s="34">
        <f>H34*Assumptions!$C$62*H37/12*(1+Assumptions!$C$67)</f>
        <v>2.205546875</v>
      </c>
      <c r="I43" s="34">
        <f>I34*Assumptions!$C$62*I37/12*(1+Assumptions!$C$67)</f>
        <v>2.3247656250000004</v>
      </c>
      <c r="J43" s="34">
        <f>J34*Assumptions!$C$62*J37/12*(1+Assumptions!$C$67)</f>
        <v>2.4439843750000003</v>
      </c>
      <c r="K43" s="34">
        <f>K34*Assumptions!$C$62*K37/12*(1+Assumptions!$C$67)</f>
        <v>2.5632031250000002</v>
      </c>
      <c r="L43" s="34">
        <f>L34*Assumptions!$C$62*L37/12*(1+Assumptions!$C$67)</f>
        <v>2.6824218750000006</v>
      </c>
      <c r="M43" s="34">
        <f>M34*Assumptions!$C$62*M37/12*(1+Assumptions!$C$67)</f>
        <v>2.8016406250000006</v>
      </c>
      <c r="N43" s="34">
        <f>N34*Assumptions!$C$62*N37/12*(1+Assumptions!$C$67)</f>
        <v>2.920859375</v>
      </c>
      <c r="O43" s="34">
        <f>O34*Assumptions!$C$62*O37/12*(1+Assumptions!$C$67)</f>
        <v>3.040078125000001</v>
      </c>
      <c r="P43" s="34">
        <f>P34*Assumptions!$C$62*P37/12*(1+Assumptions!$C$67)</f>
        <v>3.1592968750000003</v>
      </c>
      <c r="Q43" s="34">
        <f>Q34*Assumptions!$C$62*Q37/12*(1+Assumptions!$C$67)</f>
        <v>3.2785156250000003</v>
      </c>
      <c r="R43" s="34">
        <f>R34*Assumptions!$C$62*R37/12*(1+Assumptions!$C$67)</f>
        <v>3.3977343750000006</v>
      </c>
      <c r="S43" s="34">
        <f>S34*Assumptions!$C$62*S37/12*(1+Assumptions!$C$67)</f>
        <v>3.516953125</v>
      </c>
      <c r="T43" s="34">
        <f>T34*Assumptions!$C$62*T37/12*(1+Assumptions!$C$67)</f>
        <v>4.808092187500001</v>
      </c>
      <c r="U43" s="34">
        <f>U34*Assumptions!$C$62*U37/12*(1+Assumptions!$C$67)</f>
        <v>5.067989062500001</v>
      </c>
      <c r="V43" s="34">
        <f>V34*Assumptions!$C$62*V37/12*(1+Assumptions!$C$67)</f>
        <v>5.3278859375000005</v>
      </c>
      <c r="W43" s="34">
        <f>W34*Assumptions!$C$62*W37/12*(1+Assumptions!$C$67)</f>
        <v>5.587782812500001</v>
      </c>
      <c r="X43" s="34">
        <f>X34*Assumptions!$C$62*X37/12*(1+Assumptions!$C$67)</f>
        <v>5.847679687500001</v>
      </c>
      <c r="Y43" s="34">
        <f>Y34*Assumptions!$C$62*Y37/12*(1+Assumptions!$C$67)</f>
        <v>6.1075765625</v>
      </c>
      <c r="Z43" s="34">
        <f>Z34*Assumptions!$C$62*Z37/12*(1+Assumptions!$C$67)</f>
        <v>6.3674734375</v>
      </c>
      <c r="AA43" s="34">
        <f>AA34*Assumptions!$C$62*AA37/12*(1+Assumptions!$C$67)</f>
        <v>6.6273703125</v>
      </c>
      <c r="AB43" s="34">
        <f>AB34*Assumptions!$C$62*AB37/12*(1+Assumptions!$C$67)</f>
        <v>6.887267187500002</v>
      </c>
      <c r="AC43" s="34">
        <f>AC34*Assumptions!$C$62*AC37/12*(1+Assumptions!$C$67)</f>
        <v>7.147164062500001</v>
      </c>
      <c r="AD43" s="34">
        <f>AD34*Assumptions!$C$62*AD37/12*(1+Assumptions!$C$67)</f>
        <v>7.407060937500002</v>
      </c>
      <c r="AE43" s="34">
        <f>AE34*Assumptions!$C$62*AE37/12*(1+Assumptions!$C$67)</f>
        <v>7.666957812500001</v>
      </c>
      <c r="AF43" s="34">
        <f>AF34*Assumptions!$C$62*AF37/12*(1+Assumptions!$C$67)</f>
        <v>8.640271609375002</v>
      </c>
      <c r="AG43" s="34">
        <f>AG34*Assumptions!$C$62*AG37/12*(1+Assumptions!$C$67)</f>
        <v>8.923559203125002</v>
      </c>
      <c r="AH43" s="34">
        <f>AH34*Assumptions!$C$62*AH37/12*(1+Assumptions!$C$67)</f>
        <v>9.206846796875002</v>
      </c>
      <c r="AI43" s="34">
        <f>AI34*Assumptions!$C$62*AI37/12*(1+Assumptions!$C$67)</f>
        <v>9.490134390625002</v>
      </c>
      <c r="AJ43" s="34">
        <f>AJ34*Assumptions!$C$62*AJ37/12*(1+Assumptions!$C$67)</f>
        <v>9.773421984375002</v>
      </c>
      <c r="AK43" s="34">
        <f>AK34*Assumptions!$C$62*AK37/12*(1+Assumptions!$C$67)</f>
        <v>10.056709578125002</v>
      </c>
      <c r="AL43" s="34">
        <f>AL34*Assumptions!$C$62*AL37/12*(1+Assumptions!$C$67)</f>
        <v>10.339997171875002</v>
      </c>
      <c r="AM43" s="34">
        <f>AM34*Assumptions!$C$62*AM37/12*(1+Assumptions!$C$67)</f>
        <v>10.623284765625002</v>
      </c>
      <c r="AN43" s="34">
        <f>AN34*Assumptions!$C$62*AN37/12*(1+Assumptions!$C$67)</f>
        <v>10.906572359375003</v>
      </c>
      <c r="AO43" s="34">
        <f>AO34*Assumptions!$C$62*AO37/12*(1+Assumptions!$C$67)</f>
        <v>11.189859953125003</v>
      </c>
      <c r="AP43" s="34">
        <f>AP34*Assumptions!$C$62*AP37/12*(1+Assumptions!$C$67)</f>
        <v>11.473147546875001</v>
      </c>
      <c r="AQ43" s="34">
        <f>AQ34*Assumptions!$C$62*AQ37/12*(1+Assumptions!$C$67)</f>
        <v>11.756435140625001</v>
      </c>
      <c r="AR43" s="34">
        <f>AR34*Assumptions!$C$62*AR37/12*(1+Assumptions!$C$67)</f>
        <v>13.123297780468755</v>
      </c>
      <c r="AS43" s="34">
        <f>AS34*Assumptions!$C$62*AS37/12*(1+Assumptions!$C$67)</f>
        <v>13.432081257656254</v>
      </c>
      <c r="AT43" s="34">
        <f>AT34*Assumptions!$C$62*AT37/12*(1+Assumptions!$C$67)</f>
        <v>13.740864734843756</v>
      </c>
      <c r="AU43" s="34">
        <f>AU34*Assumptions!$C$62*AU37/12*(1+Assumptions!$C$67)</f>
        <v>14.049648212031256</v>
      </c>
      <c r="AV43" s="34">
        <f>AV34*Assumptions!$C$62*AV37/12*(1+Assumptions!$C$67)</f>
        <v>14.358431689218754</v>
      </c>
      <c r="AW43" s="34">
        <f>AW34*Assumptions!$C$62*AW37/12*(1+Assumptions!$C$67)</f>
        <v>14.667215166406255</v>
      </c>
      <c r="AX43" s="34">
        <f>AX34*Assumptions!$C$62*AX37/12*(1+Assumptions!$C$67)</f>
        <v>14.975998643593757</v>
      </c>
      <c r="AY43" s="34">
        <f>AY34*Assumptions!$C$62*AY37/12*(1+Assumptions!$C$67)</f>
        <v>15.284782120781257</v>
      </c>
      <c r="AZ43" s="34">
        <f>AZ34*Assumptions!$C$62*AZ37/12*(1+Assumptions!$C$67)</f>
        <v>15.593565597968754</v>
      </c>
      <c r="BA43" s="34">
        <f>BA34*Assumptions!$C$62*BA37/12*(1+Assumptions!$C$67)</f>
        <v>15.902349075156254</v>
      </c>
      <c r="BB43" s="34">
        <f>BB34*Assumptions!$C$62*BB37/12*(1+Assumptions!$C$67)</f>
        <v>16.211132552343756</v>
      </c>
      <c r="BC43" s="34">
        <f>BC34*Assumptions!$C$62*BC37/12*(1+Assumptions!$C$67)</f>
        <v>16.519916029531256</v>
      </c>
    </row>
    <row r="44">
      <c r="A44" s="4" t="inlineStr">
        <is>
          <t>Payroll: lead-verification callers</t>
        </is>
      </c>
      <c r="B44" s="2" t="inlineStr">
        <is>
          <t>₹ lakh</t>
        </is>
      </c>
      <c r="C44" s="34">
        <f>C35*Assumptions!$C$63*C37/12*(1+Assumptions!$C$67)</f>
        <v>0.11200000000000002</v>
      </c>
      <c r="D44" s="34">
        <f>D35*Assumptions!$C$63*D37/12*(1+Assumptions!$C$67)</f>
        <v>0.196</v>
      </c>
      <c r="E44" s="34">
        <f>E35*Assumptions!$C$63*E37/12*(1+Assumptions!$C$67)</f>
        <v>0.28</v>
      </c>
      <c r="F44" s="34">
        <f>F35*Assumptions!$C$63*F37/12*(1+Assumptions!$C$67)</f>
        <v>0.36400000000000005</v>
      </c>
      <c r="G44" s="34">
        <f>G35*Assumptions!$C$63*G37/12*(1+Assumptions!$C$67)</f>
        <v>0.44800000000000006</v>
      </c>
      <c r="H44" s="34">
        <f>H35*Assumptions!$C$63*H37/12*(1+Assumptions!$C$67)</f>
        <v>0.5570449596538852</v>
      </c>
      <c r="I44" s="34">
        <f>I35*Assumptions!$C$63*I37/12*(1+Assumptions!$C$67)</f>
        <v>0.6354421016460388</v>
      </c>
      <c r="J44" s="34">
        <f>J35*Assumptions!$C$63*J37/12*(1+Assumptions!$C$67)</f>
        <v>0.7248726652068171</v>
      </c>
      <c r="K44" s="34">
        <f>K35*Assumptions!$C$63*K37/12*(1+Assumptions!$C$67)</f>
        <v>0.8268894670386876</v>
      </c>
      <c r="L44" s="34">
        <f>L35*Assumptions!$C$63*L37/12*(1+Assumptions!$C$67)</f>
        <v>0.9432638634599867</v>
      </c>
      <c r="M44" s="34">
        <f>M35*Assumptions!$C$63*M37/12*(1+Assumptions!$C$67)</f>
        <v>1.0760165071347334</v>
      </c>
      <c r="N44" s="34">
        <f>N35*Assumptions!$C$63*N37/12*(1+Assumptions!$C$67)</f>
        <v>1.227452432429095</v>
      </c>
      <c r="O44" s="34">
        <f>O35*Assumptions!$C$63*O37/12*(1+Assumptions!$C$67)</f>
        <v>1.400201078595018</v>
      </c>
      <c r="P44" s="34">
        <f>P35*Assumptions!$C$63*P37/12*(1+Assumptions!$C$67)</f>
        <v>1.5972619457185453</v>
      </c>
      <c r="Q44" s="34">
        <f>Q35*Assumptions!$C$63*Q37/12*(1+Assumptions!$C$67)</f>
        <v>1.8220566761743584</v>
      </c>
      <c r="R44" s="34">
        <f>R35*Assumptions!$C$63*R37/12*(1+Assumptions!$C$67)</f>
        <v>2.0784884658966027</v>
      </c>
      <c r="S44" s="34">
        <f>S35*Assumptions!$C$63*S37/12*(1+Assumptions!$C$67)</f>
        <v>2.37100983704625</v>
      </c>
      <c r="T44" s="34">
        <f>T35*Assumptions!$C$63*T37/12*(1+Assumptions!$C$67)</f>
        <v>2.7686109988856145</v>
      </c>
      <c r="U44" s="34">
        <f>U35*Assumptions!$C$63*U37/12*(1+Assumptions!$C$67)</f>
        <v>2.9659513699911844</v>
      </c>
      <c r="V44" s="34">
        <f>V35*Assumptions!$C$63*V37/12*(1+Assumptions!$C$67)</f>
        <v>3.1773577193377744</v>
      </c>
      <c r="W44" s="34">
        <f>W35*Assumptions!$C$63*W37/12*(1+Assumptions!$C$67)</f>
        <v>3.4038326382489754</v>
      </c>
      <c r="X44" s="34">
        <f>X35*Assumptions!$C$63*X37/12*(1+Assumptions!$C$67)</f>
        <v>3.646450180505234</v>
      </c>
      <c r="Y44" s="34">
        <f>Y35*Assumptions!$C$63*Y37/12*(1+Assumptions!$C$67)</f>
        <v>3.9063609560271355</v>
      </c>
      <c r="Z44" s="34">
        <f>Z35*Assumptions!$C$63*Z37/12*(1+Assumptions!$C$67)</f>
        <v>4.184797587625087</v>
      </c>
      <c r="AA44" s="34">
        <f>AA35*Assumptions!$C$63*AA37/12*(1+Assumptions!$C$67)</f>
        <v>4.483080556693737</v>
      </c>
      <c r="AB44" s="34">
        <f>AB35*Assumptions!$C$63*AB37/12*(1+Assumptions!$C$67)</f>
        <v>4.80262446557444</v>
      </c>
      <c r="AC44" s="34">
        <f>AC35*Assumptions!$C$63*AC37/12*(1+Assumptions!$C$67)</f>
        <v>5.144944746285107</v>
      </c>
      <c r="AD44" s="34">
        <f>AD35*Assumptions!$C$63*AD37/12*(1+Assumptions!$C$67)</f>
        <v>5.511664847432691</v>
      </c>
      <c r="AE44" s="34">
        <f>AE35*Assumptions!$C$63*AE37/12*(1+Assumptions!$C$67)</f>
        <v>5.904523933393028</v>
      </c>
      <c r="AF44" s="34">
        <f>AF35*Assumptions!$C$63*AF37/12*(1+Assumptions!$C$67)</f>
        <v>6.807342035968045</v>
      </c>
      <c r="AG44" s="34">
        <f>AG35*Assumptions!$C$63*AG37/12*(1+Assumptions!$C$67)</f>
        <v>7.200186727510525</v>
      </c>
      <c r="AH44" s="34">
        <f>AH35*Assumptions!$C$63*AH37/12*(1+Assumptions!$C$67)</f>
        <v>7.615702081237613</v>
      </c>
      <c r="AI44" s="34">
        <f>AI35*Assumptions!$C$63*AI37/12*(1+Assumptions!$C$67)</f>
        <v>8.055196397694033</v>
      </c>
      <c r="AJ44" s="34">
        <f>AJ35*Assumptions!$C$63*AJ37/12*(1+Assumptions!$C$67)</f>
        <v>8.520053478100154</v>
      </c>
      <c r="AK44" s="34">
        <f>AK35*Assumptions!$C$63*AK37/12*(1+Assumptions!$C$67)</f>
        <v>9.011736981418208</v>
      </c>
      <c r="AL44" s="34">
        <f>AL35*Assumptions!$C$63*AL37/12*(1+Assumptions!$C$67)</f>
        <v>9.531795032860567</v>
      </c>
      <c r="AM44" s="34">
        <f>AM35*Assumptions!$C$63*AM37/12*(1+Assumptions!$C$67)</f>
        <v>10.081865098349358</v>
      </c>
      <c r="AN44" s="34">
        <f>AN35*Assumptions!$C$63*AN37/12*(1+Assumptions!$C$67)</f>
        <v>10.663679140277331</v>
      </c>
      <c r="AO44" s="34">
        <f>AO35*Assumptions!$C$63*AO37/12*(1+Assumptions!$C$67)</f>
        <v>11.279069070801658</v>
      </c>
      <c r="AP44" s="34">
        <f>AP35*Assumptions!$C$63*AP37/12*(1+Assumptions!$C$67)</f>
        <v>11.929972519841426</v>
      </c>
      <c r="AQ44" s="34">
        <f>AQ35*Assumptions!$C$63*AQ37/12*(1+Assumptions!$C$67)</f>
        <v>12.618438935940995</v>
      </c>
      <c r="AR44" s="34">
        <f>AR35*Assumptions!$C$63*AR37/12*(1+Assumptions!$C$67)</f>
        <v>14.131077009739458</v>
      </c>
      <c r="AS44" s="34">
        <f>AS35*Assumptions!$C$63*AS37/12*(1+Assumptions!$C$67)</f>
        <v>14.518387978953411</v>
      </c>
      <c r="AT44" s="34">
        <f>AT35*Assumptions!$C$63*AT37/12*(1+Assumptions!$C$67)</f>
        <v>14.91631454291438</v>
      </c>
      <c r="AU44" s="34">
        <f>AU35*Assumptions!$C$63*AU37/12*(1+Assumptions!$C$67)</f>
        <v>15.325147658658688</v>
      </c>
      <c r="AV44" s="34">
        <f>AV35*Assumptions!$C$63*AV37/12*(1+Assumptions!$C$67)</f>
        <v>15.745186257905623</v>
      </c>
      <c r="AW44" s="34">
        <f>AW35*Assumptions!$C$63*AW37/12*(1+Assumptions!$C$67)</f>
        <v>16.176737465630335</v>
      </c>
      <c r="AX44" s="34">
        <f>AX35*Assumptions!$C$63*AX37/12*(1+Assumptions!$C$67)</f>
        <v>16.62011682462855</v>
      </c>
      <c r="AY44" s="34">
        <f>AY35*Assumptions!$C$63*AY37/12*(1+Assumptions!$C$67)</f>
        <v>17.07564852623622</v>
      </c>
      <c r="AZ44" s="34">
        <f>AZ35*Assumptions!$C$63*AZ37/12*(1+Assumptions!$C$67)</f>
        <v>17.543665647372475</v>
      </c>
      <c r="BA44" s="34">
        <f>BA35*Assumptions!$C$63*BA37/12*(1+Assumptions!$C$67)</f>
        <v>18.024510394079595</v>
      </c>
      <c r="BB44" s="34">
        <f>BB35*Assumptions!$C$63*BB37/12*(1+Assumptions!$C$67)</f>
        <v>18.51853435173876</v>
      </c>
      <c r="BC44" s="34">
        <f>BC35*Assumptions!$C$63*BC37/12*(1+Assumptions!$C$67)</f>
        <v>19.026098742142377</v>
      </c>
    </row>
    <row r="45">
      <c r="A45" s="3" t="inlineStr">
        <is>
          <t>Total payroll</t>
        </is>
      </c>
      <c r="B45" s="2" t="inlineStr">
        <is>
          <t>₹ lakh</t>
        </is>
      </c>
      <c r="C45" s="35">
        <f>SUM(C38:C44)</f>
        <v>10.83075</v>
      </c>
      <c r="D45" s="35">
        <f>SUM(D38:D44)</f>
        <v>13.0585</v>
      </c>
      <c r="E45" s="35">
        <f>SUM(E38:E44)</f>
        <v>15.28625</v>
      </c>
      <c r="F45" s="35">
        <f>SUM(F38:F44)</f>
        <v>17.514</v>
      </c>
      <c r="G45" s="35">
        <f>SUM(G38:G44)</f>
        <v>19.74175</v>
      </c>
      <c r="H45" s="35">
        <f>SUM(H38:H44)</f>
        <v>29.98420641798722</v>
      </c>
      <c r="I45" s="35">
        <f>SUM(I38:I44)</f>
        <v>32.07342647664605</v>
      </c>
      <c r="J45" s="35">
        <f>SUM(J38:J44)</f>
        <v>34.17367995687349</v>
      </c>
      <c r="K45" s="35">
        <f>SUM(K38:K44)</f>
        <v>36.28651967537203</v>
      </c>
      <c r="L45" s="35">
        <f>SUM(L38:L44)</f>
        <v>38.413716988459996</v>
      </c>
      <c r="M45" s="35">
        <f>SUM(M38:M44)</f>
        <v>40.55729254880139</v>
      </c>
      <c r="N45" s="35">
        <f>SUM(N38:N44)</f>
        <v>42.71955139076243</v>
      </c>
      <c r="O45" s="35">
        <f>SUM(O38:O44)</f>
        <v>44.90312295359502</v>
      </c>
      <c r="P45" s="35">
        <f>SUM(P38:P44)</f>
        <v>47.111006737385225</v>
      </c>
      <c r="Q45" s="35">
        <f>SUM(Q38:Q44)</f>
        <v>49.34662438450769</v>
      </c>
      <c r="R45" s="35">
        <f>SUM(R38:R44)</f>
        <v>51.61387909089662</v>
      </c>
      <c r="S45" s="35">
        <f>SUM(S38:S44)</f>
        <v>53.917223378712926</v>
      </c>
      <c r="T45" s="35">
        <f>SUM(T38:T44)</f>
        <v>62.18753404576062</v>
      </c>
      <c r="U45" s="35">
        <f>SUM(U38:U44)</f>
        <v>64.7369411356162</v>
      </c>
      <c r="V45" s="35">
        <f>SUM(V38:V44)</f>
        <v>67.30041420371279</v>
      </c>
      <c r="W45" s="35">
        <f>SUM(W38:W44)</f>
        <v>69.87895584137398</v>
      </c>
      <c r="X45" s="35">
        <f>SUM(X38:X44)</f>
        <v>72.47364010238026</v>
      </c>
      <c r="Y45" s="35">
        <f>SUM(Y38:Y44)</f>
        <v>75.08561759665214</v>
      </c>
      <c r="Z45" s="35">
        <f>SUM(Z38:Z44)</f>
        <v>77.71612094700009</v>
      </c>
      <c r="AA45" s="35">
        <f>SUM(AA38:AA44)</f>
        <v>80.36647063481875</v>
      </c>
      <c r="AB45" s="35">
        <f>SUM(AB38:AB44)</f>
        <v>83.03808126244945</v>
      </c>
      <c r="AC45" s="35">
        <f>SUM(AC38:AC44)</f>
        <v>85.73246826191011</v>
      </c>
      <c r="AD45" s="35">
        <f>SUM(AD38:AD44)</f>
        <v>88.45125508180772</v>
      </c>
      <c r="AE45" s="35">
        <f>SUM(AE38:AE44)</f>
        <v>91.19618088651804</v>
      </c>
      <c r="AF45" s="35">
        <f>SUM(AF38:AF44)</f>
        <v>101.05004228674932</v>
      </c>
      <c r="AG45" s="35">
        <f>SUM(AG38:AG44)</f>
        <v>103.80833838610428</v>
      </c>
      <c r="AH45" s="35">
        <f>SUM(AH38:AH44)</f>
        <v>106.58930514764387</v>
      </c>
      <c r="AI45" s="35">
        <f>SUM(AI38:AI44)</f>
        <v>109.3942508719128</v>
      </c>
      <c r="AJ45" s="35">
        <f>SUM(AJ38:AJ44)</f>
        <v>112.22455936013141</v>
      </c>
      <c r="AK45" s="35">
        <f>SUM(AK38:AK44)</f>
        <v>115.081694271262</v>
      </c>
      <c r="AL45" s="35">
        <f>SUM(AL38:AL44)</f>
        <v>117.96720373051686</v>
      </c>
      <c r="AM45" s="35">
        <f>SUM(AM38:AM44)</f>
        <v>120.88272520381814</v>
      </c>
      <c r="AN45" s="35">
        <f>SUM(AN38:AN44)</f>
        <v>123.82999065355861</v>
      </c>
      <c r="AO45" s="35">
        <f>SUM(AO38:AO44)</f>
        <v>126.81083199189543</v>
      </c>
      <c r="AP45" s="35">
        <f>SUM(AP38:AP44)</f>
        <v>129.8271868487477</v>
      </c>
      <c r="AQ45" s="35">
        <f>SUM(AQ38:AQ44)</f>
        <v>132.88110467265977</v>
      </c>
      <c r="AR45" s="35">
        <f>SUM(AR38:AR44)</f>
        <v>147.79572469727856</v>
      </c>
      <c r="AS45" s="35">
        <f>SUM(AS38:AS44)</f>
        <v>150.76137770100814</v>
      </c>
      <c r="AT45" s="35">
        <f>SUM(AT38:AT44)</f>
        <v>153.73764629948477</v>
      </c>
      <c r="AU45" s="35">
        <f>SUM(AU38:AU44)</f>
        <v>156.72482144974467</v>
      </c>
      <c r="AV45" s="35">
        <f>SUM(AV38:AV44)</f>
        <v>159.7232020835072</v>
      </c>
      <c r="AW45" s="35">
        <f>SUM(AW38:AW44)</f>
        <v>162.7330953257476</v>
      </c>
      <c r="AX45" s="35">
        <f>SUM(AX38:AX44)</f>
        <v>165.7548167192614</v>
      </c>
      <c r="AY45" s="35">
        <f>SUM(AY38:AY44)</f>
        <v>168.7886904553847</v>
      </c>
      <c r="AZ45" s="35">
        <f>SUM(AZ38:AZ44)</f>
        <v>171.8350496110366</v>
      </c>
      <c r="BA45" s="35">
        <f>SUM(BA38:BA44)</f>
        <v>174.89423639225933</v>
      </c>
      <c r="BB45" s="35">
        <f>SUM(BB38:BB44)</f>
        <v>177.9666023844341</v>
      </c>
      <c r="BC45" s="35">
        <f>SUM(BC38:BC44)</f>
        <v>181.05250880935338</v>
      </c>
    </row>
    <row r="46">
      <c r="A46" s="4" t="inlineStr">
        <is>
          <t>G&amp;A</t>
        </is>
      </c>
      <c r="B46" s="2" t="inlineStr">
        <is>
          <t>₹ lakh</t>
        </is>
      </c>
      <c r="C46" s="34">
        <f>C45*Assumptions!$C$71</f>
        <v>1.6246125</v>
      </c>
      <c r="D46" s="34">
        <f>D45*Assumptions!$C$71</f>
        <v>1.958775</v>
      </c>
      <c r="E46" s="34">
        <f>E45*Assumptions!$C$71</f>
        <v>2.2929375</v>
      </c>
      <c r="F46" s="34">
        <f>F45*Assumptions!$C$71</f>
        <v>2.6271</v>
      </c>
      <c r="G46" s="34">
        <f>G45*Assumptions!$C$71</f>
        <v>2.9612624999999997</v>
      </c>
      <c r="H46" s="34">
        <f>H45*Assumptions!$C$71</f>
        <v>4.497630962698083</v>
      </c>
      <c r="I46" s="34">
        <f>I45*Assumptions!$C$71</f>
        <v>4.811013971496907</v>
      </c>
      <c r="J46" s="34">
        <f>J45*Assumptions!$C$71</f>
        <v>5.126051993531024</v>
      </c>
      <c r="K46" s="34">
        <f>K45*Assumptions!$C$71</f>
        <v>5.442977951305804</v>
      </c>
      <c r="L46" s="34">
        <f>L45*Assumptions!$C$71</f>
        <v>5.7620575482689995</v>
      </c>
      <c r="M46" s="34">
        <f>M45*Assumptions!$C$71</f>
        <v>6.0835938823202085</v>
      </c>
      <c r="N46" s="34">
        <f>N45*Assumptions!$C$71</f>
        <v>6.407932708614365</v>
      </c>
      <c r="O46" s="34">
        <f>O45*Assumptions!$C$71</f>
        <v>6.735468443039253</v>
      </c>
      <c r="P46" s="34">
        <f>P45*Assumptions!$C$71</f>
        <v>7.066651010607783</v>
      </c>
      <c r="Q46" s="34">
        <f>Q45*Assumptions!$C$71</f>
        <v>7.401993657676154</v>
      </c>
      <c r="R46" s="34">
        <f>R45*Assumptions!$C$71</f>
        <v>7.742081863634493</v>
      </c>
      <c r="S46" s="34">
        <f>S45*Assumptions!$C$71</f>
        <v>8.087583506806938</v>
      </c>
      <c r="T46" s="34">
        <f>T45*Assumptions!$C$71</f>
        <v>9.328130106864092</v>
      </c>
      <c r="U46" s="34">
        <f>U45*Assumptions!$C$71</f>
        <v>9.710541170342431</v>
      </c>
      <c r="V46" s="34">
        <f>V45*Assumptions!$C$71</f>
        <v>10.095062130556919</v>
      </c>
      <c r="W46" s="34">
        <f>W45*Assumptions!$C$71</f>
        <v>10.481843376206097</v>
      </c>
      <c r="X46" s="34">
        <f>X45*Assumptions!$C$71</f>
        <v>10.871046015357038</v>
      </c>
      <c r="Y46" s="34">
        <f>Y45*Assumptions!$C$71</f>
        <v>11.262842639497821</v>
      </c>
      <c r="Z46" s="34">
        <f>Z45*Assumptions!$C$71</f>
        <v>11.657418142050014</v>
      </c>
      <c r="AA46" s="34">
        <f>AA45*Assumptions!$C$71</f>
        <v>12.054970595222812</v>
      </c>
      <c r="AB46" s="34">
        <f>AB45*Assumptions!$C$71</f>
        <v>12.455712189367418</v>
      </c>
      <c r="AC46" s="34">
        <f>AC45*Assumptions!$C$71</f>
        <v>12.859870239286517</v>
      </c>
      <c r="AD46" s="34">
        <f>AD45*Assumptions!$C$71</f>
        <v>13.267688262271157</v>
      </c>
      <c r="AE46" s="34">
        <f>AE45*Assumptions!$C$71</f>
        <v>13.679427132977706</v>
      </c>
      <c r="AF46" s="34">
        <f>AF45*Assumptions!$C$71</f>
        <v>15.157506343012397</v>
      </c>
      <c r="AG46" s="34">
        <f>AG45*Assumptions!$C$71</f>
        <v>15.571250757915642</v>
      </c>
      <c r="AH46" s="34">
        <f>AH45*Assumptions!$C$71</f>
        <v>15.98839577214658</v>
      </c>
      <c r="AI46" s="34">
        <f>AI45*Assumptions!$C$71</f>
        <v>16.40913763078692</v>
      </c>
      <c r="AJ46" s="34">
        <f>AJ45*Assumptions!$C$71</f>
        <v>16.83368390401971</v>
      </c>
      <c r="AK46" s="34">
        <f>AK45*Assumptions!$C$71</f>
        <v>17.262254140689297</v>
      </c>
      <c r="AL46" s="34">
        <f>AL45*Assumptions!$C$71</f>
        <v>17.695080559577526</v>
      </c>
      <c r="AM46" s="34">
        <f>AM45*Assumptions!$C$71</f>
        <v>18.13240878057272</v>
      </c>
      <c r="AN46" s="34">
        <f>AN45*Assumptions!$C$71</f>
        <v>18.57449859803379</v>
      </c>
      <c r="AO46" s="34">
        <f>AO45*Assumptions!$C$71</f>
        <v>19.021624798784313</v>
      </c>
      <c r="AP46" s="34">
        <f>AP45*Assumptions!$C$71</f>
        <v>19.474078027312153</v>
      </c>
      <c r="AQ46" s="34">
        <f>AQ45*Assumptions!$C$71</f>
        <v>19.932165700898967</v>
      </c>
      <c r="AR46" s="34">
        <f>AR45*Assumptions!$C$71</f>
        <v>22.169358704591783</v>
      </c>
      <c r="AS46" s="34">
        <f>AS45*Assumptions!$C$71</f>
        <v>22.61420665515122</v>
      </c>
      <c r="AT46" s="34">
        <f>AT45*Assumptions!$C$71</f>
        <v>23.060646944922713</v>
      </c>
      <c r="AU46" s="34">
        <f>AU45*Assumptions!$C$71</f>
        <v>23.5087232174617</v>
      </c>
      <c r="AV46" s="34">
        <f>AV45*Assumptions!$C$71</f>
        <v>23.95848031252608</v>
      </c>
      <c r="AW46" s="34">
        <f>AW45*Assumptions!$C$71</f>
        <v>24.40996429886214</v>
      </c>
      <c r="AX46" s="34">
        <f>AX45*Assumptions!$C$71</f>
        <v>24.863222507889212</v>
      </c>
      <c r="AY46" s="34">
        <f>AY45*Assumptions!$C$71</f>
        <v>25.318303568307705</v>
      </c>
      <c r="AZ46" s="34">
        <f>AZ45*Assumptions!$C$71</f>
        <v>25.775257441655487</v>
      </c>
      <c r="BA46" s="34">
        <f>BA45*Assumptions!$C$71</f>
        <v>26.2341354588389</v>
      </c>
      <c r="BB46" s="34">
        <f>BB45*Assumptions!$C$71</f>
        <v>26.694990357665116</v>
      </c>
      <c r="BC46" s="34">
        <f>BC45*Assumptions!$C$71</f>
        <v>27.157876321403005</v>
      </c>
    </row>
    <row r="47">
      <c r="A47" s="4" t="inlineStr">
        <is>
          <t>Office, tools, compliance</t>
        </is>
      </c>
      <c r="B47" s="2" t="inlineStr">
        <is>
          <t>₹ lakh</t>
        </is>
      </c>
      <c r="C47" s="34">
        <f>INDEX(Assumptions!$C$72:$G$72,1,C$4)/C$6</f>
        <v>2.0</v>
      </c>
      <c r="D47" s="34">
        <f>INDEX(Assumptions!$C$72:$G$72,1,D$4)/D$6</f>
        <v>2.0</v>
      </c>
      <c r="E47" s="34">
        <f>INDEX(Assumptions!$C$72:$G$72,1,E$4)/E$6</f>
        <v>2.0</v>
      </c>
      <c r="F47" s="34">
        <f>INDEX(Assumptions!$C$72:$G$72,1,F$4)/F$6</f>
        <v>2.0</v>
      </c>
      <c r="G47" s="34">
        <f>INDEX(Assumptions!$C$72:$G$72,1,G$4)/G$6</f>
        <v>2.0</v>
      </c>
      <c r="H47" s="34">
        <f>INDEX(Assumptions!$C$72:$G$72,1,H$4)/H$6</f>
        <v>4.166666666666667</v>
      </c>
      <c r="I47" s="34">
        <f>INDEX(Assumptions!$C$72:$G$72,1,I$4)/I$6</f>
        <v>4.166666666666667</v>
      </c>
      <c r="J47" s="34">
        <f>INDEX(Assumptions!$C$72:$G$72,1,J$4)/J$6</f>
        <v>4.166666666666667</v>
      </c>
      <c r="K47" s="34">
        <f>INDEX(Assumptions!$C$72:$G$72,1,K$4)/K$6</f>
        <v>4.166666666666667</v>
      </c>
      <c r="L47" s="34">
        <f>INDEX(Assumptions!$C$72:$G$72,1,L$4)/L$6</f>
        <v>4.166666666666667</v>
      </c>
      <c r="M47" s="34">
        <f>INDEX(Assumptions!$C$72:$G$72,1,M$4)/M$6</f>
        <v>4.166666666666667</v>
      </c>
      <c r="N47" s="34">
        <f>INDEX(Assumptions!$C$72:$G$72,1,N$4)/N$6</f>
        <v>4.166666666666667</v>
      </c>
      <c r="O47" s="34">
        <f>INDEX(Assumptions!$C$72:$G$72,1,O$4)/O$6</f>
        <v>4.166666666666667</v>
      </c>
      <c r="P47" s="34">
        <f>INDEX(Assumptions!$C$72:$G$72,1,P$4)/P$6</f>
        <v>4.166666666666667</v>
      </c>
      <c r="Q47" s="34">
        <f>INDEX(Assumptions!$C$72:$G$72,1,Q$4)/Q$6</f>
        <v>4.166666666666667</v>
      </c>
      <c r="R47" s="34">
        <f>INDEX(Assumptions!$C$72:$G$72,1,R$4)/R$6</f>
        <v>4.166666666666667</v>
      </c>
      <c r="S47" s="34">
        <f>INDEX(Assumptions!$C$72:$G$72,1,S$4)/S$6</f>
        <v>4.166666666666667</v>
      </c>
      <c r="T47" s="34">
        <f>INDEX(Assumptions!$C$72:$G$72,1,T$4)/T$6</f>
        <v>8.333333333333334</v>
      </c>
      <c r="U47" s="34">
        <f>INDEX(Assumptions!$C$72:$G$72,1,U$4)/U$6</f>
        <v>8.333333333333334</v>
      </c>
      <c r="V47" s="34">
        <f>INDEX(Assumptions!$C$72:$G$72,1,V$4)/V$6</f>
        <v>8.333333333333334</v>
      </c>
      <c r="W47" s="34">
        <f>INDEX(Assumptions!$C$72:$G$72,1,W$4)/W$6</f>
        <v>8.333333333333334</v>
      </c>
      <c r="X47" s="34">
        <f>INDEX(Assumptions!$C$72:$G$72,1,X$4)/X$6</f>
        <v>8.333333333333334</v>
      </c>
      <c r="Y47" s="34">
        <f>INDEX(Assumptions!$C$72:$G$72,1,Y$4)/Y$6</f>
        <v>8.333333333333334</v>
      </c>
      <c r="Z47" s="34">
        <f>INDEX(Assumptions!$C$72:$G$72,1,Z$4)/Z$6</f>
        <v>8.333333333333334</v>
      </c>
      <c r="AA47" s="34">
        <f>INDEX(Assumptions!$C$72:$G$72,1,AA$4)/AA$6</f>
        <v>8.333333333333334</v>
      </c>
      <c r="AB47" s="34">
        <f>INDEX(Assumptions!$C$72:$G$72,1,AB$4)/AB$6</f>
        <v>8.333333333333334</v>
      </c>
      <c r="AC47" s="34">
        <f>INDEX(Assumptions!$C$72:$G$72,1,AC$4)/AC$6</f>
        <v>8.333333333333334</v>
      </c>
      <c r="AD47" s="34">
        <f>INDEX(Assumptions!$C$72:$G$72,1,AD$4)/AD$6</f>
        <v>8.333333333333334</v>
      </c>
      <c r="AE47" s="34">
        <f>INDEX(Assumptions!$C$72:$G$72,1,AE$4)/AE$6</f>
        <v>8.333333333333334</v>
      </c>
      <c r="AF47" s="34">
        <f>INDEX(Assumptions!$C$72:$G$72,1,AF$4)/AF$6</f>
        <v>12.5</v>
      </c>
      <c r="AG47" s="34">
        <f>INDEX(Assumptions!$C$72:$G$72,1,AG$4)/AG$6</f>
        <v>12.5</v>
      </c>
      <c r="AH47" s="34">
        <f>INDEX(Assumptions!$C$72:$G$72,1,AH$4)/AH$6</f>
        <v>12.5</v>
      </c>
      <c r="AI47" s="34">
        <f>INDEX(Assumptions!$C$72:$G$72,1,AI$4)/AI$6</f>
        <v>12.5</v>
      </c>
      <c r="AJ47" s="34">
        <f>INDEX(Assumptions!$C$72:$G$72,1,AJ$4)/AJ$6</f>
        <v>12.5</v>
      </c>
      <c r="AK47" s="34">
        <f>INDEX(Assumptions!$C$72:$G$72,1,AK$4)/AK$6</f>
        <v>12.5</v>
      </c>
      <c r="AL47" s="34">
        <f>INDEX(Assumptions!$C$72:$G$72,1,AL$4)/AL$6</f>
        <v>12.5</v>
      </c>
      <c r="AM47" s="34">
        <f>INDEX(Assumptions!$C$72:$G$72,1,AM$4)/AM$6</f>
        <v>12.5</v>
      </c>
      <c r="AN47" s="34">
        <f>INDEX(Assumptions!$C$72:$G$72,1,AN$4)/AN$6</f>
        <v>12.5</v>
      </c>
      <c r="AO47" s="34">
        <f>INDEX(Assumptions!$C$72:$G$72,1,AO$4)/AO$6</f>
        <v>12.5</v>
      </c>
      <c r="AP47" s="34">
        <f>INDEX(Assumptions!$C$72:$G$72,1,AP$4)/AP$6</f>
        <v>12.5</v>
      </c>
      <c r="AQ47" s="34">
        <f>INDEX(Assumptions!$C$72:$G$72,1,AQ$4)/AQ$6</f>
        <v>12.5</v>
      </c>
      <c r="AR47" s="34">
        <f>INDEX(Assumptions!$C$72:$G$72,1,AR$4)/AR$6</f>
        <v>16.666666666666668</v>
      </c>
      <c r="AS47" s="34">
        <f>INDEX(Assumptions!$C$72:$G$72,1,AS$4)/AS$6</f>
        <v>16.666666666666668</v>
      </c>
      <c r="AT47" s="34">
        <f>INDEX(Assumptions!$C$72:$G$72,1,AT$4)/AT$6</f>
        <v>16.666666666666668</v>
      </c>
      <c r="AU47" s="34">
        <f>INDEX(Assumptions!$C$72:$G$72,1,AU$4)/AU$6</f>
        <v>16.666666666666668</v>
      </c>
      <c r="AV47" s="34">
        <f>INDEX(Assumptions!$C$72:$G$72,1,AV$4)/AV$6</f>
        <v>16.666666666666668</v>
      </c>
      <c r="AW47" s="34">
        <f>INDEX(Assumptions!$C$72:$G$72,1,AW$4)/AW$6</f>
        <v>16.666666666666668</v>
      </c>
      <c r="AX47" s="34">
        <f>INDEX(Assumptions!$C$72:$G$72,1,AX$4)/AX$6</f>
        <v>16.666666666666668</v>
      </c>
      <c r="AY47" s="34">
        <f>INDEX(Assumptions!$C$72:$G$72,1,AY$4)/AY$6</f>
        <v>16.666666666666668</v>
      </c>
      <c r="AZ47" s="34">
        <f>INDEX(Assumptions!$C$72:$G$72,1,AZ$4)/AZ$6</f>
        <v>16.666666666666668</v>
      </c>
      <c r="BA47" s="34">
        <f>INDEX(Assumptions!$C$72:$G$72,1,BA$4)/BA$6</f>
        <v>16.666666666666668</v>
      </c>
      <c r="BB47" s="34">
        <f>INDEX(Assumptions!$C$72:$G$72,1,BB$4)/BB$6</f>
        <v>16.666666666666668</v>
      </c>
      <c r="BC47" s="34">
        <f>INDEX(Assumptions!$C$72:$G$72,1,BC$4)/BC$6</f>
        <v>16.666666666666668</v>
      </c>
    </row>
    <row r="48">
      <c r="A48" s="3" t="inlineStr">
        <is>
          <t>Operating expenses</t>
        </is>
      </c>
      <c r="B48" s="2" t="inlineStr">
        <is>
          <t>₹ lakh</t>
        </is>
      </c>
      <c r="C48" s="35">
        <f>C45+C46+C47</f>
        <v>14.4553625</v>
      </c>
      <c r="D48" s="35">
        <f>D45+D46+D47</f>
        <v>17.017274999999998</v>
      </c>
      <c r="E48" s="35">
        <f>E45+E46+E47</f>
        <v>19.5791875</v>
      </c>
      <c r="F48" s="35">
        <f>F45+F46+F47</f>
        <v>22.141099999999998</v>
      </c>
      <c r="G48" s="35">
        <f>G45+G46+G47</f>
        <v>24.7030125</v>
      </c>
      <c r="H48" s="35">
        <f>H45+H46+H47</f>
        <v>38.64850404735197</v>
      </c>
      <c r="I48" s="35">
        <f>I45+I46+I47</f>
        <v>41.05110711480962</v>
      </c>
      <c r="J48" s="35">
        <f>J45+J46+J47</f>
        <v>43.46639861707118</v>
      </c>
      <c r="K48" s="35">
        <f>K45+K46+K47</f>
        <v>45.8961642933445</v>
      </c>
      <c r="L48" s="35">
        <f>L45+L46+L47</f>
        <v>48.34244120339566</v>
      </c>
      <c r="M48" s="35">
        <f>M45+M46+M47</f>
        <v>50.807553097788265</v>
      </c>
      <c r="N48" s="35">
        <f>N45+N46+N47</f>
        <v>53.294150766043465</v>
      </c>
      <c r="O48" s="35">
        <f>O45+O46+O47</f>
        <v>55.80525806330094</v>
      </c>
      <c r="P48" s="35">
        <f>P45+P46+P47</f>
        <v>58.344324414659674</v>
      </c>
      <c r="Q48" s="35">
        <f>Q45+Q46+Q47</f>
        <v>60.91528470885051</v>
      </c>
      <c r="R48" s="35">
        <f>R45+R46+R47</f>
        <v>63.52262762119778</v>
      </c>
      <c r="S48" s="35">
        <f>S45+S46+S47</f>
        <v>66.17147355218653</v>
      </c>
      <c r="T48" s="35">
        <f>T45+T46+T47</f>
        <v>79.84899748595804</v>
      </c>
      <c r="U48" s="35">
        <f>U45+U46+U47</f>
        <v>82.78081563929196</v>
      </c>
      <c r="V48" s="35">
        <f>V45+V46+V47</f>
        <v>85.72880966760304</v>
      </c>
      <c r="W48" s="35">
        <f>W45+W46+W47</f>
        <v>88.69413255091341</v>
      </c>
      <c r="X48" s="35">
        <f>X45+X46+X47</f>
        <v>91.67801945107063</v>
      </c>
      <c r="Y48" s="35">
        <f>Y45+Y46+Y47</f>
        <v>94.68179356948329</v>
      </c>
      <c r="Z48" s="35">
        <f>Z45+Z46+Z47</f>
        <v>97.70687242238344</v>
      </c>
      <c r="AA48" s="35">
        <f>AA45+AA46+AA47</f>
        <v>100.7547745633749</v>
      </c>
      <c r="AB48" s="35">
        <f>AB45+AB46+AB47</f>
        <v>103.8271267851502</v>
      </c>
      <c r="AC48" s="35">
        <f>AC45+AC46+AC47</f>
        <v>106.92567183452996</v>
      </c>
      <c r="AD48" s="35">
        <f>AD45+AD46+AD47</f>
        <v>110.0522766774122</v>
      </c>
      <c r="AE48" s="35">
        <f>AE45+AE46+AE47</f>
        <v>113.20894135282907</v>
      </c>
      <c r="AF48" s="35">
        <f>AF45+AF46+AF47</f>
        <v>128.70754862976173</v>
      </c>
      <c r="AG48" s="35">
        <f>AG45+AG46+AG47</f>
        <v>131.87958914401992</v>
      </c>
      <c r="AH48" s="35">
        <f>AH45+AH46+AH47</f>
        <v>135.07770091979046</v>
      </c>
      <c r="AI48" s="35">
        <f>AI45+AI46+AI47</f>
        <v>138.3033885026997</v>
      </c>
      <c r="AJ48" s="35">
        <f>AJ45+AJ46+AJ47</f>
        <v>141.55824326415112</v>
      </c>
      <c r="AK48" s="35">
        <f>AK45+AK46+AK47</f>
        <v>144.8439484119513</v>
      </c>
      <c r="AL48" s="35">
        <f>AL45+AL46+AL47</f>
        <v>148.1622842900944</v>
      </c>
      <c r="AM48" s="35">
        <f>AM45+AM46+AM47</f>
        <v>151.51513398439087</v>
      </c>
      <c r="AN48" s="35">
        <f>AN45+AN46+AN47</f>
        <v>154.9044892515924</v>
      </c>
      <c r="AO48" s="35">
        <f>AO45+AO46+AO47</f>
        <v>158.33245679067974</v>
      </c>
      <c r="AP48" s="35">
        <f>AP45+AP46+AP47</f>
        <v>161.80126487605983</v>
      </c>
      <c r="AQ48" s="35">
        <f>AQ45+AQ46+AQ47</f>
        <v>165.31327037355874</v>
      </c>
      <c r="AR48" s="35">
        <f>AR45+AR46+AR47</f>
        <v>186.631750068537</v>
      </c>
      <c r="AS48" s="35">
        <f>AS45+AS46+AS47</f>
        <v>190.04225102282604</v>
      </c>
      <c r="AT48" s="35">
        <f>AT45+AT46+AT47</f>
        <v>193.46495991107415</v>
      </c>
      <c r="AU48" s="35">
        <f>AU45+AU46+AU47</f>
        <v>196.90021133387302</v>
      </c>
      <c r="AV48" s="35">
        <f>AV45+AV46+AV47</f>
        <v>200.34834906269995</v>
      </c>
      <c r="AW48" s="35">
        <f>AW45+AW46+AW47</f>
        <v>203.8097262912764</v>
      </c>
      <c r="AX48" s="35">
        <f>AX45+AX46+AX47</f>
        <v>207.2847058938173</v>
      </c>
      <c r="AY48" s="35">
        <f>AY45+AY46+AY47</f>
        <v>210.77366069035907</v>
      </c>
      <c r="AZ48" s="35">
        <f>AZ45+AZ46+AZ47</f>
        <v>214.27697371935875</v>
      </c>
      <c r="BA48" s="35">
        <f>BA45+BA46+BA47</f>
        <v>217.79503851776488</v>
      </c>
      <c r="BB48" s="35">
        <f>BB45+BB46+BB47</f>
        <v>221.3282594087659</v>
      </c>
      <c r="BC48" s="35">
        <f>BC45+BC46+BC47</f>
        <v>224.87705179742304</v>
      </c>
    </row>
    <row r="49">
      <c r="A49" s="3" t="inlineStr">
        <is>
          <t>EBITDA</t>
        </is>
      </c>
      <c r="B49" s="2" t="inlineStr">
        <is>
          <t>₹ lakh</t>
        </is>
      </c>
      <c r="C49" s="35">
        <f>C26-C48</f>
        <v>-13.836013</v>
      </c>
      <c r="D49" s="35">
        <f>D26-D48</f>
        <v>-16.11522775</v>
      </c>
      <c r="E49" s="35">
        <f>E26-E48</f>
        <v>-16.549325572</v>
      </c>
      <c r="F49" s="35">
        <f>F26-F48</f>
        <v>-17.444702625999994</v>
      </c>
      <c r="G49" s="35">
        <f>G26-G48</f>
        <v>-18.34007968</v>
      </c>
      <c r="H49" s="35">
        <f>H26-H48</f>
        <v>-20.963753848846338</v>
      </c>
      <c r="I49" s="35">
        <f>I26-I48</f>
        <v>-20.846068234355705</v>
      </c>
      <c r="J49" s="35">
        <f>J26-J48</f>
        <v>-21.012176243116922</v>
      </c>
      <c r="K49" s="35">
        <f>K26-K48</f>
        <v>-20.970036922855897</v>
      </c>
      <c r="L49" s="35">
        <f>L26-L48</f>
        <v>-20.690342055016874</v>
      </c>
      <c r="M49" s="35">
        <f>M26-M48</f>
        <v>-20.139658654215467</v>
      </c>
      <c r="N49" s="35">
        <f>N26-N48</f>
        <v>-19.279848458667644</v>
      </c>
      <c r="O49" s="35">
        <f>O26-O48</f>
        <v>-18.067405721123592</v>
      </c>
      <c r="P49" s="35">
        <f>P26-P48</f>
        <v>-16.452701802123052</v>
      </c>
      <c r="Q49" s="35">
        <f>Q26-Q48</f>
        <v>-14.379123449155543</v>
      </c>
      <c r="R49" s="35">
        <f>R26-R48</f>
        <v>-11.782089799342927</v>
      </c>
      <c r="S49" s="35">
        <f>S26-S48</f>
        <v>-8.587931037489831</v>
      </c>
      <c r="T49" s="35">
        <f>T26-T48</f>
        <v>1.062321345120239</v>
      </c>
      <c r="U49" s="35">
        <f>U26-U48</f>
        <v>5.482996910513009</v>
      </c>
      <c r="V49" s="35">
        <f>V26-V48</f>
        <v>8.189763339352524</v>
      </c>
      <c r="W49" s="35">
        <f>W26-W48</f>
        <v>11.17858497169047</v>
      </c>
      <c r="X49" s="35">
        <f>X26-X48</f>
        <v>14.469566068672435</v>
      </c>
      <c r="Y49" s="35">
        <f>Y26-Y48</f>
        <v>18.08424387800423</v>
      </c>
      <c r="Z49" s="35">
        <f>Z26-Z48</f>
        <v>22.04569077401638</v>
      </c>
      <c r="AA49" s="35">
        <f>AA26-AA48</f>
        <v>26.378623678039006</v>
      </c>
      <c r="AB49" s="35">
        <f>AB26-AB48</f>
        <v>31.109521278017496</v>
      </c>
      <c r="AC49" s="35">
        <f>AC26-AC48</f>
        <v>36.266749603278356</v>
      </c>
      <c r="AD49" s="35">
        <f>AD26-AD48</f>
        <v>41.88069654998007</v>
      </c>
      <c r="AE49" s="35">
        <f>AE26-AE48</f>
        <v>47.9839159952422</v>
      </c>
      <c r="AF49" s="35">
        <f>AF26-AF48</f>
        <v>66.82470169145125</v>
      </c>
      <c r="AG49" s="35">
        <f>AG26-AG48</f>
        <v>74.35801986220454</v>
      </c>
      <c r="AH49" s="35">
        <f>AH26-AH48</f>
        <v>81.39369155340532</v>
      </c>
      <c r="AI49" s="35">
        <f>AI26-AI48</f>
        <v>88.89444021037275</v>
      </c>
      <c r="AJ49" s="35">
        <f>AJ26-AJ48</f>
        <v>96.88710494537372</v>
      </c>
      <c r="AK49" s="35">
        <f>AK26-AK48</f>
        <v>105.40007372818002</v>
      </c>
      <c r="AL49" s="35">
        <f>AL26-AL48</f>
        <v>114.46337276903623</v>
      </c>
      <c r="AM49" s="35">
        <f>AM26-AM48</f>
        <v>124.1087610598232</v>
      </c>
      <c r="AN49" s="35">
        <f>AN26-AN48</f>
        <v>134.36983037110974</v>
      </c>
      <c r="AO49" s="35">
        <f>AO26-AO48</f>
        <v>145.28211101991243</v>
      </c>
      <c r="AP49" s="35">
        <f>AP26-AP48</f>
        <v>156.88318374121744</v>
      </c>
      <c r="AQ49" s="35">
        <f>AQ26-AQ48</f>
        <v>169.21279801548894</v>
      </c>
      <c r="AR49" s="35">
        <f>AR26-AR48</f>
        <v>189.01721700759438</v>
      </c>
      <c r="AS49" s="35">
        <f>AS26-AS48</f>
        <v>199.86299481687215</v>
      </c>
      <c r="AT49" s="35">
        <f>AT26-AT48</f>
        <v>206.69834681737572</v>
      </c>
      <c r="AU49" s="35">
        <f>AU26-AU48</f>
        <v>213.74251485927664</v>
      </c>
      <c r="AV49" s="35">
        <f>AV26-AV48</f>
        <v>221.00122226736832</v>
      </c>
      <c r="AW49" s="35">
        <f>AW26-AW48</f>
        <v>228.48034923392132</v>
      </c>
      <c r="AX49" s="35">
        <f>AX26-AX48</f>
        <v>236.18593711818963</v>
      </c>
      <c r="AY49" s="35">
        <f>AY26-AY48</f>
        <v>244.1241928637388</v>
      </c>
      <c r="AZ49" s="35">
        <f>AZ26-AZ48</f>
        <v>252.30149353685914</v>
      </c>
      <c r="BA49" s="35">
        <f>BA26-BA48</f>
        <v>260.72439098936707</v>
      </c>
      <c r="BB49" s="35">
        <f>BB26-BB48</f>
        <v>269.3996166492093</v>
      </c>
      <c r="BC49" s="35">
        <f>BC26-BC48</f>
        <v>278.33408644235783</v>
      </c>
    </row>
    <row r="50">
      <c r="A50" s="13" t="inlineStr">
        <is>
          <t>Capex, tax and working capital</t>
        </is>
      </c>
      <c r="B50" s="14" t="n"/>
    </row>
    <row r="51">
      <c r="A51" s="4" t="inlineStr">
        <is>
          <t>Capex (devices for new heads + 3-year refresh)</t>
        </is>
      </c>
      <c r="B51" s="2" t="inlineStr">
        <is>
          <t>₹ lakh</t>
        </is>
      </c>
      <c r="C51" s="34">
        <f>Assumptions!$C$74*MAX(0,C36-Assumptions!$C$65)</f>
        <v>4.704</v>
      </c>
      <c r="D51" s="34">
        <f>Assumptions!$C$74*MAX(0,D36-C36)</f>
        <v>1.728</v>
      </c>
      <c r="E51" s="34">
        <f>Assumptions!$C$74*MAX(0,E36-D36)</f>
        <v>1.728</v>
      </c>
      <c r="F51" s="34">
        <f>Assumptions!$C$74*MAX(0,F36-E36)</f>
        <v>1.728</v>
      </c>
      <c r="G51" s="34">
        <f>Assumptions!$C$74*MAX(0,G36-F36)</f>
        <v>1.7280000000000015</v>
      </c>
      <c r="H51" s="34">
        <f>Assumptions!$C$74*MAX(0,H36-G36)</f>
        <v>5.136172874402785</v>
      </c>
      <c r="I51" s="34">
        <f>Assumptions!$C$74*MAX(0,I36-H36)</f>
        <v>1.4465965147852782</v>
      </c>
      <c r="J51" s="34">
        <f>Assumptions!$C$74*MAX(0,J36-I36)</f>
        <v>1.4813019037298378</v>
      </c>
      <c r="K51" s="34">
        <f>Assumptions!$C$74*MAX(0,K36-J36)</f>
        <v>1.5208916440320974</v>
      </c>
      <c r="L51" s="34">
        <f>Assumptions!$C$74*MAX(0,L36-K36)</f>
        <v>1.5660531473278076</v>
      </c>
      <c r="M51" s="34">
        <f>Assumptions!$C$74*MAX(0,M36-L36)</f>
        <v>1.6175705698812493</v>
      </c>
      <c r="N51" s="34">
        <f>Assumptions!$C$74*MAX(0,N36-M36)</f>
        <v>1.6763384281867226</v>
      </c>
      <c r="O51" s="34">
        <f>Assumptions!$C$74*MAX(0,O36-N36)</f>
        <v>1.7433771307971326</v>
      </c>
      <c r="P51" s="34">
        <f>Assumptions!$C$74*MAX(0,P36-O36)</f>
        <v>1.8198506960635186</v>
      </c>
      <c r="Q51" s="34">
        <f>Assumptions!$C$74*MAX(0,Q36-P36)</f>
        <v>1.9070869634258885</v>
      </c>
      <c r="R51" s="34">
        <f>Assumptions!$C$74*MAX(0,R36-Q36)</f>
        <v>2.0066006491918564</v>
      </c>
      <c r="S51" s="34">
        <f>Assumptions!$C$74*MAX(0,S36-R36)</f>
        <v>2.120119647128645</v>
      </c>
      <c r="T51" s="34">
        <f>Assumptions!$C$74*MAX(0,T36-S36)</f>
        <v>3.1940866432749617</v>
      </c>
      <c r="U51" s="34">
        <f>Assumptions!$C$74*MAX(0,U36-T36)</f>
        <v>1.9944769447657855</v>
      </c>
      <c r="V51" s="34">
        <f>Assumptions!$C$74*MAX(0,V36-U36)</f>
        <v>2.0350679818098665</v>
      </c>
      <c r="W51" s="34">
        <f>Assumptions!$C$74*MAX(0,W36-V36)</f>
        <v>2.078552256768775</v>
      </c>
      <c r="X51" s="34">
        <f>Assumptions!$C$74*MAX(0,X36-W36)</f>
        <v>2.125135993140336</v>
      </c>
      <c r="Y51" s="34">
        <f>Assumptions!$C$74*MAX(0,Y36-X36)</f>
        <v>2.175040113569763</v>
      </c>
      <c r="Z51" s="34">
        <f>Assumptions!$C$74*MAX(0,Z36-Y36)</f>
        <v>2.228501287572089</v>
      </c>
      <c r="AA51" s="34">
        <f>Assumptions!$C$74*MAX(0,AA36-Z36)</f>
        <v>2.2857730539333625</v>
      </c>
      <c r="AB51" s="34">
        <f>Assumptions!$C$74*MAX(0,AB36-AA36)</f>
        <v>2.3471270231145667</v>
      </c>
      <c r="AC51" s="34">
        <f>Assumptions!$C$74*MAX(0,AC36-AB36)</f>
        <v>2.412854165360771</v>
      </c>
      <c r="AD51" s="34">
        <f>Assumptions!$C$74*MAX(0,AD36-AC36)</f>
        <v>2.4832661906215208</v>
      </c>
      <c r="AE51" s="34">
        <f>Assumptions!$C$74*MAX(0,AE36-AD36)</f>
        <v>2.5586970268313354</v>
      </c>
      <c r="AF51" s="34">
        <f>Assumptions!$C$74*MAX(0,AF36-AE36)</f>
        <v>1.4333053673118499</v>
      </c>
      <c r="AG51" s="34">
        <f>Assumptions!$C$74*MAX(0,AG36-AF36)</f>
        <v>2.3150509064186906</v>
      </c>
      <c r="AH51" s="34">
        <f>Assumptions!$C$74*MAX(0,AH36-AG36)</f>
        <v>2.3750711720907076</v>
      </c>
      <c r="AI51" s="34">
        <f>Assumptions!$C$74*MAX(0,AI36-AH36)</f>
        <v>2.4385551454229986</v>
      </c>
      <c r="AJ51" s="34">
        <f>Assumptions!$C$74*MAX(0,AJ36-AI36)</f>
        <v>2.5057027134138052</v>
      </c>
      <c r="AK51" s="34">
        <f>Assumptions!$C$74*MAX(0,AK36-AJ36)</f>
        <v>2.5767252983340003</v>
      </c>
      <c r="AL51" s="34">
        <f>Assumptions!$C$74*MAX(0,AL36-AK36)</f>
        <v>2.6518465234166912</v>
      </c>
      <c r="AM51" s="34">
        <f>Assumptions!$C$74*MAX(0,AM36-AL36)+C51</f>
        <v>7.4353029169596</v>
      </c>
      <c r="AN51" s="34">
        <f>Assumptions!$C$74*MAX(0,AN36-AM36)+D51</f>
        <v>4.5433446570663065</v>
      </c>
      <c r="AO51" s="34">
        <f>Assumptions!$C$74*MAX(0,AO36-AN36)+E51</f>
        <v>4.632236359360493</v>
      </c>
      <c r="AP51" s="34">
        <f>Assumptions!$C$74*MAX(0,AP36-AO36)+F51</f>
        <v>4.726257910159804</v>
      </c>
      <c r="AQ51" s="34">
        <f>Assumptions!$C$74*MAX(0,AQ36-AP36)+G51</f>
        <v>4.8257053477335035</v>
      </c>
      <c r="AR51" s="34">
        <f>Assumptions!$C$74*MAX(0,AR36-AQ36)+H51</f>
        <v>7.326811009409424</v>
      </c>
      <c r="AS51" s="34">
        <f>Assumptions!$C$74*MAX(0,AS36-AR36)+I51</f>
        <v>3.662330875173609</v>
      </c>
      <c r="AT51" s="34">
        <f>Assumptions!$C$74*MAX(0,AT36-AS36)+J51</f>
        <v>3.7228203382298224</v>
      </c>
      <c r="AU51" s="34">
        <f>Assumptions!$C$74*MAX(0,AU36-AT36)+K51</f>
        <v>3.7889008542433116</v>
      </c>
      <c r="AV51" s="34">
        <f>Assumptions!$C$74*MAX(0,AV36-AU36)+L51</f>
        <v>3.861279204449077</v>
      </c>
      <c r="AW51" s="34">
        <f>Assumptions!$C$74*MAX(0,AW36-AV36)+M51</f>
        <v>3.9407594455994914</v>
      </c>
      <c r="AX51" s="34">
        <f>Assumptions!$C$74*MAX(0,AX36-AW36)+N51</f>
        <v>4.0282565401190515</v>
      </c>
      <c r="AY51" s="34">
        <f>Assumptions!$C$74*MAX(0,AY36-AX36)+O51</f>
        <v>4.124811902882722</v>
      </c>
      <c r="AZ51" s="34">
        <f>Assumptions!$C$74*MAX(0,AZ36-AY36)+P51</f>
        <v>4.2316111343140665</v>
      </c>
      <c r="BA51" s="34">
        <f>Assumptions!$C$74*MAX(0,BA36-AZ36)+Q51</f>
        <v>4.3500042474564875</v>
      </c>
      <c r="BB51" s="34">
        <f>Assumptions!$C$74*MAX(0,BB36-BA36)+R51</f>
        <v>4.481528739966556</v>
      </c>
      <c r="BC51" s="34">
        <f>Assumptions!$C$74*MAX(0,BC36-BB36)+S51</f>
        <v>4.627935911360153</v>
      </c>
    </row>
    <row r="52">
      <c r="A52" s="4" t="inlineStr">
        <is>
          <t>Depreciation (36 months)</t>
        </is>
      </c>
      <c r="B52" s="2" t="inlineStr">
        <is>
          <t>₹ lakh</t>
        </is>
      </c>
      <c r="C52" s="34">
        <f>SUM(C51:C51)/36</f>
        <v>0.13066666666666665</v>
      </c>
      <c r="D52" s="34">
        <f>SUM(C51:D51)/36</f>
        <v>0.17866666666666664</v>
      </c>
      <c r="E52" s="34">
        <f>SUM(C51:E51)/36</f>
        <v>0.22666666666666668</v>
      </c>
      <c r="F52" s="34">
        <f>SUM(C51:F51)/36</f>
        <v>0.27466666666666667</v>
      </c>
      <c r="G52" s="34">
        <f>SUM(C51:G51)/36</f>
        <v>0.3226666666666667</v>
      </c>
      <c r="H52" s="34">
        <f>SUM(C51:H51)/36</f>
        <v>0.46533813540007746</v>
      </c>
      <c r="I52" s="34">
        <f>SUM(C51:I51)/36</f>
        <v>0.5055213719218907</v>
      </c>
      <c r="J52" s="34">
        <f>SUM(C51:J51)/36</f>
        <v>0.5466686470254972</v>
      </c>
      <c r="K52" s="34">
        <f>SUM(C51:K51)/36</f>
        <v>0.5889156371375</v>
      </c>
      <c r="L52" s="34">
        <f>SUM(C51:L51)/36</f>
        <v>0.6324171134521612</v>
      </c>
      <c r="M52" s="34">
        <f>SUM(C51:M51)/36</f>
        <v>0.677349629282196</v>
      </c>
      <c r="N52" s="34">
        <f>SUM(C51:N51)/36</f>
        <v>0.723914585620716</v>
      </c>
      <c r="O52" s="34">
        <f>SUM(C51:O51)/36</f>
        <v>0.7723417281428585</v>
      </c>
      <c r="P52" s="34">
        <f>SUM(C51:P51)/36</f>
        <v>0.8228931363668451</v>
      </c>
      <c r="Q52" s="34">
        <f>SUM(C51:Q51)/36</f>
        <v>0.8758677742397866</v>
      </c>
      <c r="R52" s="34">
        <f>SUM(C51:R51)/36</f>
        <v>0.9316066811617828</v>
      </c>
      <c r="S52" s="34">
        <f>SUM(C51:S51)/36</f>
        <v>0.9904988935820229</v>
      </c>
      <c r="T52" s="34">
        <f>SUM(C51:T51)/36</f>
        <v>1.0792235225618831</v>
      </c>
      <c r="U52" s="34">
        <f>SUM(C51:U51)/36</f>
        <v>1.1346256599164883</v>
      </c>
      <c r="V52" s="34">
        <f>SUM(C51:V51)/36</f>
        <v>1.1911553260778733</v>
      </c>
      <c r="W52" s="34">
        <f>SUM(C51:W51)/36</f>
        <v>1.248892888765895</v>
      </c>
      <c r="X52" s="34">
        <f>SUM(C51:X51)/36</f>
        <v>1.3079244441309041</v>
      </c>
      <c r="Y52" s="34">
        <f>SUM(C51:Y51)/36</f>
        <v>1.3683422250633976</v>
      </c>
      <c r="Z52" s="34">
        <f>SUM(C51:Z51)/36</f>
        <v>1.4302450386070664</v>
      </c>
      <c r="AA52" s="34">
        <f>SUM(C51:AA51)/36</f>
        <v>1.4937387345496598</v>
      </c>
      <c r="AB52" s="34">
        <f>SUM(C51:AB51)/36</f>
        <v>1.5589367074139533</v>
      </c>
      <c r="AC52" s="34">
        <f>SUM(C51:AC51)/36</f>
        <v>1.6259604342295304</v>
      </c>
      <c r="AD52" s="34">
        <f>SUM(C51:AD51)/36</f>
        <v>1.6949400506356838</v>
      </c>
      <c r="AE52" s="34">
        <f>SUM(C51:AE51)/36</f>
        <v>1.7660149680476651</v>
      </c>
      <c r="AF52" s="34">
        <f>SUM(C51:AF51)/36</f>
        <v>1.8058290060285498</v>
      </c>
      <c r="AG52" s="34">
        <f>SUM(C51:AG51)/36</f>
        <v>1.8701359756512912</v>
      </c>
      <c r="AH52" s="34">
        <f>SUM(C51:AH51)/36</f>
        <v>1.9361101748760337</v>
      </c>
      <c r="AI52" s="34">
        <f>SUM(C51:AI51)/36</f>
        <v>2.0038478178044503</v>
      </c>
      <c r="AJ52" s="34">
        <f>SUM(C51:AJ51)/36</f>
        <v>2.0734506709548337</v>
      </c>
      <c r="AK52" s="34">
        <f>SUM(C51:AK51)/36</f>
        <v>2.1450263736863335</v>
      </c>
      <c r="AL52" s="34">
        <f>SUM(C51:AL51)/36</f>
        <v>2.218688777114575</v>
      </c>
      <c r="AM52" s="34">
        <f>SUM(D51:AM51)/36</f>
        <v>2.294558302585675</v>
      </c>
      <c r="AN52" s="34">
        <f>SUM(E51:AN51)/36</f>
        <v>2.3727623208375173</v>
      </c>
      <c r="AO52" s="34">
        <f>SUM(F51:AO51)/36</f>
        <v>2.453435553041975</v>
      </c>
      <c r="AP52" s="34">
        <f>SUM(G51:AP51)/36</f>
        <v>2.536720494990858</v>
      </c>
      <c r="AQ52" s="34">
        <f>SUM(H51:AQ51)/36</f>
        <v>2.622767865761233</v>
      </c>
      <c r="AR52" s="34">
        <f>SUM(I51:AR51)/36</f>
        <v>2.6836189250669733</v>
      </c>
      <c r="AS52" s="34">
        <f>SUM(J51:AS51)/36</f>
        <v>2.7451671017444266</v>
      </c>
      <c r="AT52" s="34">
        <f>SUM(K51:AT51)/36</f>
        <v>2.80743150270276</v>
      </c>
      <c r="AU52" s="34">
        <f>SUM(L51:AU51)/36</f>
        <v>2.8704317585419603</v>
      </c>
      <c r="AV52" s="34">
        <f>SUM(M51:AV51)/36</f>
        <v>2.9341880379064396</v>
      </c>
      <c r="AW52" s="34">
        <f>SUM(N51:AW51)/36</f>
        <v>2.998721062231947</v>
      </c>
      <c r="AX52" s="34">
        <f>SUM(O51:AX51)/36</f>
        <v>3.0640521208967337</v>
      </c>
      <c r="AY52" s="34">
        <f>SUM(P51:AY51)/36</f>
        <v>3.130203086788</v>
      </c>
      <c r="AZ52" s="34">
        <f>SUM(Q51:AZ51)/36</f>
        <v>3.1971964322949598</v>
      </c>
      <c r="BA52" s="34">
        <f>SUM(R51:BA51)/36</f>
        <v>3.265055245740254</v>
      </c>
      <c r="BB52" s="34">
        <f>SUM(S51:BB51)/36</f>
        <v>3.3338032482617734</v>
      </c>
      <c r="BC52" s="34">
        <f>SUM(T51:BC51)/36</f>
        <v>3.4034648111570927</v>
      </c>
    </row>
    <row r="53">
      <c r="A53" s="4" t="inlineStr">
        <is>
          <t>EBIT (= profit before tax; no debt)</t>
        </is>
      </c>
      <c r="B53" s="2" t="inlineStr">
        <is>
          <t>₹ lakh</t>
        </is>
      </c>
      <c r="C53" s="34">
        <f>C49-C52</f>
        <v>-13.966679666666666</v>
      </c>
      <c r="D53" s="34">
        <f>D49-D52</f>
        <v>-16.293894416666667</v>
      </c>
      <c r="E53" s="34">
        <f>E49-E52</f>
        <v>-16.775992238666667</v>
      </c>
      <c r="F53" s="34">
        <f>F49-F52</f>
        <v>-17.719369292666663</v>
      </c>
      <c r="G53" s="34">
        <f>G49-G52</f>
        <v>-18.662746346666665</v>
      </c>
      <c r="H53" s="34">
        <f>H49-H52</f>
        <v>-21.429091984246416</v>
      </c>
      <c r="I53" s="34">
        <f>I49-I52</f>
        <v>-21.351589606277596</v>
      </c>
      <c r="J53" s="34">
        <f>J49-J52</f>
        <v>-21.55884489014242</v>
      </c>
      <c r="K53" s="34">
        <f>K49-K52</f>
        <v>-21.558952559993397</v>
      </c>
      <c r="L53" s="34">
        <f>L49-L52</f>
        <v>-21.322759168469034</v>
      </c>
      <c r="M53" s="34">
        <f>M49-M52</f>
        <v>-20.817008283497664</v>
      </c>
      <c r="N53" s="34">
        <f>N49-N52</f>
        <v>-20.00376304428836</v>
      </c>
      <c r="O53" s="34">
        <f>O49-O52</f>
        <v>-18.83974744926645</v>
      </c>
      <c r="P53" s="34">
        <f>P49-P52</f>
        <v>-17.275594938489895</v>
      </c>
      <c r="Q53" s="34">
        <f>Q49-Q52</f>
        <v>-15.25499122339533</v>
      </c>
      <c r="R53" s="34">
        <f>R49-R52</f>
        <v>-12.71369648050471</v>
      </c>
      <c r="S53" s="34">
        <f>S49-S52</f>
        <v>-9.578429931071854</v>
      </c>
      <c r="T53" s="34">
        <f>T49-T52</f>
        <v>-0.01690217744164424</v>
      </c>
      <c r="U53" s="34">
        <f>U49-U52</f>
        <v>4.348371250596521</v>
      </c>
      <c r="V53" s="34">
        <f>V49-V52</f>
        <v>6.998608013274651</v>
      </c>
      <c r="W53" s="34">
        <f>W49-W52</f>
        <v>9.929692082924575</v>
      </c>
      <c r="X53" s="34">
        <f>X49-X52</f>
        <v>13.16164162454153</v>
      </c>
      <c r="Y53" s="34">
        <f>Y49-Y52</f>
        <v>16.715901652940833</v>
      </c>
      <c r="Z53" s="34">
        <f>Z49-Z52</f>
        <v>20.615445735409313</v>
      </c>
      <c r="AA53" s="34">
        <f>AA49-AA52</f>
        <v>24.884884943489347</v>
      </c>
      <c r="AB53" s="34">
        <f>AB49-AB52</f>
        <v>29.550584570603544</v>
      </c>
      <c r="AC53" s="34">
        <f>AC49-AC52</f>
        <v>34.64078916904882</v>
      </c>
      <c r="AD53" s="34">
        <f>AD49-AD52</f>
        <v>40.185756499344386</v>
      </c>
      <c r="AE53" s="34">
        <f>AE49-AE52</f>
        <v>46.217901027194536</v>
      </c>
      <c r="AF53" s="34">
        <f>AF49-AF52</f>
        <v>65.0188726854227</v>
      </c>
      <c r="AG53" s="34">
        <f>AG49-AG52</f>
        <v>72.48788388655325</v>
      </c>
      <c r="AH53" s="34">
        <f>AH49-AH52</f>
        <v>79.45758137852928</v>
      </c>
      <c r="AI53" s="34">
        <f>AI49-AI52</f>
        <v>86.8905923925683</v>
      </c>
      <c r="AJ53" s="34">
        <f>AJ49-AJ52</f>
        <v>94.8136542744189</v>
      </c>
      <c r="AK53" s="34">
        <f>AK49-AK52</f>
        <v>103.25504735449368</v>
      </c>
      <c r="AL53" s="34">
        <f>AL49-AL52</f>
        <v>112.24468399192165</v>
      </c>
      <c r="AM53" s="34">
        <f>AM49-AM52</f>
        <v>121.81420275723752</v>
      </c>
      <c r="AN53" s="34">
        <f>AN49-AN52</f>
        <v>131.99706805027222</v>
      </c>
      <c r="AO53" s="34">
        <f>AO49-AO52</f>
        <v>142.82867546687046</v>
      </c>
      <c r="AP53" s="34">
        <f>AP49-AP52</f>
        <v>154.3464632462266</v>
      </c>
      <c r="AQ53" s="34">
        <f>AQ49-AQ52</f>
        <v>166.5900301497277</v>
      </c>
      <c r="AR53" s="34">
        <f>AR49-AR52</f>
        <v>186.3335980825274</v>
      </c>
      <c r="AS53" s="34">
        <f>AS49-AS52</f>
        <v>197.11782771512773</v>
      </c>
      <c r="AT53" s="34">
        <f>AT49-AT52</f>
        <v>203.89091531467295</v>
      </c>
      <c r="AU53" s="34">
        <f>AU49-AU52</f>
        <v>210.87208310073467</v>
      </c>
      <c r="AV53" s="34">
        <f>AV49-AV52</f>
        <v>218.06703422946188</v>
      </c>
      <c r="AW53" s="34">
        <f>AW49-AW52</f>
        <v>225.48162817168938</v>
      </c>
      <c r="AX53" s="34">
        <f>AX49-AX52</f>
        <v>233.12188499729288</v>
      </c>
      <c r="AY53" s="34">
        <f>AY49-AY52</f>
        <v>240.99398977695083</v>
      </c>
      <c r="AZ53" s="34">
        <f>AZ49-AZ52</f>
        <v>249.10429710456418</v>
      </c>
      <c r="BA53" s="34">
        <f>BA49-BA52</f>
        <v>257.4593357436268</v>
      </c>
      <c r="BB53" s="34">
        <f>BB49-BB52</f>
        <v>266.0658134009475</v>
      </c>
      <c r="BC53" s="34">
        <f>BC49-BC52</f>
        <v>274.9306216312007</v>
      </c>
    </row>
    <row r="54">
      <c r="A54" s="4" t="inlineStr">
        <is>
          <t>Tax paid (each March)</t>
        </is>
      </c>
      <c r="B54" s="2" t="inlineStr">
        <is>
          <t>₹ lakh</t>
        </is>
      </c>
      <c r="C54" s="34" t="n">
        <v>0</v>
      </c>
      <c r="D54" s="34" t="n">
        <v>0</v>
      </c>
      <c r="E54" s="34" t="n">
        <v>0</v>
      </c>
      <c r="F54" s="34" t="n">
        <v>0</v>
      </c>
      <c r="G54" s="34">
        <f>C101</f>
        <v>0.0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4" t="n">
        <v>0</v>
      </c>
      <c r="O54" s="34" t="n">
        <v>0</v>
      </c>
      <c r="P54" s="34" t="n">
        <v>0</v>
      </c>
      <c r="Q54" s="34" t="n">
        <v>0</v>
      </c>
      <c r="R54" s="34" t="n">
        <v>0</v>
      </c>
      <c r="S54" s="34">
        <f>D101</f>
        <v>0.0</v>
      </c>
      <c r="T54" s="34" t="n">
        <v>0</v>
      </c>
      <c r="U54" s="34" t="n">
        <v>0</v>
      </c>
      <c r="V54" s="34" t="n">
        <v>0</v>
      </c>
      <c r="W54" s="34" t="n">
        <v>0</v>
      </c>
      <c r="X54" s="34" t="n">
        <v>0</v>
      </c>
      <c r="Y54" s="34" t="n">
        <v>0</v>
      </c>
      <c r="Z54" s="34" t="n">
        <v>0</v>
      </c>
      <c r="AA54" s="34" t="n">
        <v>0</v>
      </c>
      <c r="AB54" s="34" t="n">
        <v>0</v>
      </c>
      <c r="AC54" s="34" t="n">
        <v>0</v>
      </c>
      <c r="AD54" s="34" t="n">
        <v>0</v>
      </c>
      <c r="AE54" s="34">
        <f>E101</f>
        <v>0.0</v>
      </c>
      <c r="AF54" s="34" t="n">
        <v>0</v>
      </c>
      <c r="AG54" s="34" t="n">
        <v>0</v>
      </c>
      <c r="AH54" s="34" t="n">
        <v>0</v>
      </c>
      <c r="AI54" s="34" t="n">
        <v>0</v>
      </c>
      <c r="AJ54" s="34" t="n">
        <v>0</v>
      </c>
      <c r="AK54" s="34" t="n">
        <v>0</v>
      </c>
      <c r="AL54" s="34" t="n">
        <v>0</v>
      </c>
      <c r="AM54" s="34" t="n">
        <v>0</v>
      </c>
      <c r="AN54" s="34" t="n">
        <v>0</v>
      </c>
      <c r="AO54" s="34" t="n">
        <v>0</v>
      </c>
      <c r="AP54" s="34" t="n">
        <v>0</v>
      </c>
      <c r="AQ54" s="34">
        <f>F101</f>
        <v>320.6036448141868</v>
      </c>
      <c r="AR54" s="34" t="n">
        <v>0</v>
      </c>
      <c r="AS54" s="34" t="n">
        <v>0</v>
      </c>
      <c r="AT54" s="34" t="n">
        <v>0</v>
      </c>
      <c r="AU54" s="34" t="n">
        <v>0</v>
      </c>
      <c r="AV54" s="34" t="n">
        <v>0</v>
      </c>
      <c r="AW54" s="34" t="n">
        <v>0</v>
      </c>
      <c r="AX54" s="34" t="n">
        <v>0</v>
      </c>
      <c r="AY54" s="34" t="n">
        <v>0</v>
      </c>
      <c r="AZ54" s="34" t="n">
        <v>0</v>
      </c>
      <c r="BA54" s="34" t="n">
        <v>0</v>
      </c>
      <c r="BB54" s="34" t="n">
        <v>0</v>
      </c>
      <c r="BC54" s="34">
        <f>G101</f>
        <v>695.5023348863708</v>
      </c>
    </row>
    <row r="55">
      <c r="A55" s="4" t="inlineStr">
        <is>
          <t>Receivables</t>
        </is>
      </c>
      <c r="B55" s="2" t="inlineStr">
        <is>
          <t>₹ lakh</t>
        </is>
      </c>
      <c r="C55" s="34">
        <f>(C15*Assumptions!$C$78+C16*Assumptions!$C$79+C17*Assumptions!$C$80+C19*Assumptions!$C$81+C20*Assumptions!$C$82)/30</f>
        <v>0.0</v>
      </c>
      <c r="D55" s="34">
        <f>(D15*Assumptions!$C$78+D16*Assumptions!$C$79+D17*Assumptions!$C$80+D19*Assumptions!$C$81+D20*Assumptions!$C$82)/30</f>
        <v>0.0</v>
      </c>
      <c r="E55" s="34">
        <f>(E15*Assumptions!$C$78+E16*Assumptions!$C$79+E17*Assumptions!$C$80+E19*Assumptions!$C$81+E20*Assumptions!$C$82)/30</f>
        <v>2.0455424</v>
      </c>
      <c r="F55" s="34">
        <f>(F15*Assumptions!$C$78+F16*Assumptions!$C$79+F17*Assumptions!$C$80+F19*Assumptions!$C$81+F20*Assumptions!$C$82)/30</f>
        <v>3.5796992000000003</v>
      </c>
      <c r="G55" s="34">
        <f>(G15*Assumptions!$C$78+G16*Assumptions!$C$79+G17*Assumptions!$C$80+G19*Assumptions!$C$81+G20*Assumptions!$C$82)/30</f>
        <v>5.113855999999999</v>
      </c>
      <c r="H55" s="34">
        <f>(H15*Assumptions!$C$78+H16*Assumptions!$C$79+H17*Assumptions!$C$80+H19*Assumptions!$C$81+H20*Assumptions!$C$82)/30</f>
        <v>19.890824533333333</v>
      </c>
      <c r="I55" s="34">
        <f>(I15*Assumptions!$C$78+I16*Assumptions!$C$79+I17*Assumptions!$C$80+I19*Assumptions!$C$81+I20*Assumptions!$C$82)/30</f>
        <v>21.404091733333335</v>
      </c>
      <c r="J55" s="34">
        <f>(J15*Assumptions!$C$78+J16*Assumptions!$C$79+J17*Assumptions!$C$80+J19*Assumptions!$C$81+J20*Assumptions!$C$82)/30</f>
        <v>22.53995048459532</v>
      </c>
      <c r="K55" s="34">
        <f>(K15*Assumptions!$C$78+K16*Assumptions!$C$79+K17*Assumptions!$C$80+K19*Assumptions!$C$81+K20*Assumptions!$C$82)/30</f>
        <v>23.8356672118831</v>
      </c>
      <c r="L55" s="34">
        <f>(L15*Assumptions!$C$78+L16*Assumptions!$C$79+L17*Assumptions!$C$80+L19*Assumptions!$C$81+L20*Assumptions!$C$82)/30</f>
        <v>25.31373993484117</v>
      </c>
      <c r="M55" s="34">
        <f>(M15*Assumptions!$C$78+M16*Assumptions!$C$79+M17*Assumptions!$C$80+M19*Assumptions!$C$81+M20*Assumptions!$C$82)/30</f>
        <v>26.999832989243412</v>
      </c>
      <c r="N55" s="34">
        <f>(N15*Assumptions!$C$78+N16*Assumptions!$C$79+N17*Assumptions!$C$80+N19*Assumptions!$C$81+N20*Assumptions!$C$82)/30</f>
        <v>28.92322264656265</v>
      </c>
      <c r="O55" s="34">
        <f>(O15*Assumptions!$C$78+O16*Assumptions!$C$79+O17*Assumptions!$C$80+O19*Assumptions!$C$81+O20*Assumptions!$C$82)/30</f>
        <v>31.117305448946677</v>
      </c>
      <c r="P55" s="34">
        <f>(P15*Assumptions!$C$78+P16*Assumptions!$C$79+P17*Assumptions!$C$80+P19*Assumptions!$C$81+P20*Assumptions!$C$82)/30</f>
        <v>33.62017808601098</v>
      </c>
      <c r="Q55" s="34">
        <f>(Q15*Assumptions!$C$78+Q16*Assumptions!$C$79+Q17*Assumptions!$C$80+Q19*Assumptions!$C$81+Q20*Assumptions!$C$82)/30</f>
        <v>36.475298882071456</v>
      </c>
      <c r="R55" s="34">
        <f>(R15*Assumptions!$C$78+R16*Assumptions!$C$79+R17*Assumptions!$C$80+R19*Assumptions!$C$81+R20*Assumptions!$C$82)/30</f>
        <v>39.73224237946761</v>
      </c>
      <c r="S55" s="34">
        <f>(S15*Assumptions!$C$78+S16*Assumptions!$C$79+S17*Assumptions!$C$80+S19*Assumptions!$C$81+S20*Assumptions!$C$82)/30</f>
        <v>43.4475601200926</v>
      </c>
      <c r="T55" s="34">
        <f>(T15*Assumptions!$C$78+T16*Assumptions!$C$79+T17*Assumptions!$C$80+T19*Assumptions!$C$81+T20*Assumptions!$C$82)/30</f>
        <v>73.87821787202331</v>
      </c>
      <c r="U55" s="34">
        <f>(U15*Assumptions!$C$78+U16*Assumptions!$C$79+U17*Assumptions!$C$80+U19*Assumptions!$C$81+U20*Assumptions!$C$82)/30</f>
        <v>78.64615520082431</v>
      </c>
      <c r="V55" s="34">
        <f>(V15*Assumptions!$C$78+V16*Assumptions!$C$79+V17*Assumptions!$C$80+V19*Assumptions!$C$81+V20*Assumptions!$C$82)/30</f>
        <v>81.40076630805605</v>
      </c>
      <c r="W55" s="34">
        <f>(W15*Assumptions!$C$78+W16*Assumptions!$C$79+W17*Assumptions!$C$80+W19*Assumptions!$C$81+W20*Assumptions!$C$82)/30</f>
        <v>84.35171990557306</v>
      </c>
      <c r="X55" s="34">
        <f>(X15*Assumptions!$C$78+X16*Assumptions!$C$79+X17*Assumptions!$C$80+X19*Assumptions!$C$81+X20*Assumptions!$C$82)/30</f>
        <v>87.51301084491426</v>
      </c>
      <c r="Y55" s="34">
        <f>(Y15*Assumptions!$C$78+Y16*Assumptions!$C$79+Y17*Assumptions!$C$80+Y19*Assumptions!$C$81+Y20*Assumptions!$C$82)/30</f>
        <v>90.89963149918911</v>
      </c>
      <c r="Z55" s="34">
        <f>(Z15*Assumptions!$C$78+Z16*Assumptions!$C$79+Z17*Assumptions!$C$80+Z19*Assumptions!$C$81+Z20*Assumptions!$C$82)/30</f>
        <v>94.52764286417657</v>
      </c>
      <c r="AA55" s="34">
        <f>(AA15*Assumptions!$C$78+AA16*Assumptions!$C$79+AA17*Assumptions!$C$80+AA19*Assumptions!$C$81+AA20*Assumptions!$C$82)/30</f>
        <v>98.41425072734661</v>
      </c>
      <c r="AB55" s="34">
        <f>(AB15*Assumptions!$C$78+AB16*Assumptions!$C$79+AB17*Assumptions!$C$80+AB19*Assumptions!$C$81+AB20*Assumptions!$C$82)/30</f>
        <v>102.57788726604016</v>
      </c>
      <c r="AC55" s="34">
        <f>(AC15*Assumptions!$C$78+AC16*Assumptions!$C$79+AC17*Assumptions!$C$80+AC19*Assumptions!$C$81+AC20*Assumptions!$C$82)/30</f>
        <v>107.03829846178232</v>
      </c>
      <c r="AD55" s="34">
        <f>(AD15*Assumptions!$C$78+AD16*Assumptions!$C$79+AD17*Assumptions!$C$80+AD19*Assumptions!$C$81+AD20*Assumptions!$C$82)/30</f>
        <v>111.81663774529224</v>
      </c>
      <c r="AE55" s="34">
        <f>(AE15*Assumptions!$C$78+AE16*Assumptions!$C$79+AE17*Assumptions!$C$80+AE19*Assumptions!$C$81+AE20*Assumptions!$C$82)/30</f>
        <v>116.93556631630311</v>
      </c>
      <c r="AF55" s="34">
        <f>(AF15*Assumptions!$C$78+AF16*Assumptions!$C$79+AF17*Assumptions!$C$80+AF19*Assumptions!$C$81+AF20*Assumptions!$C$82)/30</f>
        <v>161.26569315372515</v>
      </c>
      <c r="AG55" s="34">
        <f>(AG15*Assumptions!$C$78+AG16*Assumptions!$C$79+AG17*Assumptions!$C$80+AG19*Assumptions!$C$81+AG20*Assumptions!$C$82)/30</f>
        <v>167.0581291628154</v>
      </c>
      <c r="AH55" s="34">
        <f>(AH15*Assumptions!$C$78+AH16*Assumptions!$C$79+AH17*Assumptions!$C$80+AH19*Assumptions!$C$81+AH20*Assumptions!$C$82)/30</f>
        <v>172.0821640528674</v>
      </c>
      <c r="AI55" s="34">
        <f>(AI15*Assumptions!$C$78+AI16*Assumptions!$C$79+AI17*Assumptions!$C$80+AI19*Assumptions!$C$81+AI20*Assumptions!$C$82)/30</f>
        <v>177.39613081739597</v>
      </c>
      <c r="AJ55" s="34">
        <f>(AJ15*Assumptions!$C$78+AJ16*Assumptions!$C$79+AJ17*Assumptions!$C$80+AJ19*Assumptions!$C$81+AJ20*Assumptions!$C$82)/30</f>
        <v>183.01676112599804</v>
      </c>
      <c r="AK55" s="34">
        <f>(AK15*Assumptions!$C$78+AK16*Assumptions!$C$79+AK17*Assumptions!$C$80+AK19*Assumptions!$C$81+AK20*Assumptions!$C$82)/30</f>
        <v>188.96175221567935</v>
      </c>
      <c r="AL55" s="34">
        <f>(AL15*Assumptions!$C$78+AL16*Assumptions!$C$79+AL17*Assumptions!$C$80+AL19*Assumptions!$C$81+AL20*Assumptions!$C$82)/30</f>
        <v>195.24982261274823</v>
      </c>
      <c r="AM55" s="34">
        <f>(AM15*Assumptions!$C$78+AM16*Assumptions!$C$79+AM17*Assumptions!$C$80+AM19*Assumptions!$C$81+AM20*Assumptions!$C$82)/30</f>
        <v>201.90077107036942</v>
      </c>
      <c r="AN55" s="34">
        <f>(AN15*Assumptions!$C$78+AN16*Assumptions!$C$79+AN17*Assumptions!$C$80+AN19*Assumptions!$C$81+AN20*Assumptions!$C$82)/30</f>
        <v>208.93553890734646</v>
      </c>
      <c r="AO55" s="34">
        <f>(AO15*Assumptions!$C$78+AO16*Assumptions!$C$79+AO17*Assumptions!$C$80+AO19*Assumptions!$C$81+AO20*Assumptions!$C$82)/30</f>
        <v>216.37627594439877</v>
      </c>
      <c r="AP55" s="34">
        <f>(AP15*Assumptions!$C$78+AP16*Assumptions!$C$79+AP17*Assumptions!$C$80+AP19*Assumptions!$C$81+AP20*Assumptions!$C$82)/30</f>
        <v>224.24641024556942</v>
      </c>
      <c r="AQ55" s="34">
        <f>(AQ15*Assumptions!$C$78+AQ16*Assumptions!$C$79+AQ17*Assumptions!$C$80+AQ19*Assumptions!$C$81+AQ20*Assumptions!$C$82)/30</f>
        <v>232.5707218843287</v>
      </c>
      <c r="AR55" s="34">
        <f>(AR15*Assumptions!$C$78+AR16*Assumptions!$C$79+AR17*Assumptions!$C$80+AR19*Assumptions!$C$81+AR20*Assumptions!$C$82)/30</f>
        <v>292.41782974345176</v>
      </c>
      <c r="AS55" s="34">
        <f>(AS15*Assumptions!$C$78+AS16*Assumptions!$C$79+AS17*Assumptions!$C$80+AS19*Assumptions!$C$81+AS20*Assumptions!$C$82)/30</f>
        <v>301.5984320389158</v>
      </c>
      <c r="AT55" s="34">
        <f>(AT15*Assumptions!$C$78+AT16*Assumptions!$C$79+AT17*Assumptions!$C$80+AT19*Assumptions!$C$81+AT20*Assumptions!$C$82)/30</f>
        <v>306.2103181973173</v>
      </c>
      <c r="AU55" s="34">
        <f>(AU15*Assumptions!$C$78+AU16*Assumptions!$C$79+AU17*Assumptions!$C$80+AU19*Assumptions!$C$81+AU20*Assumptions!$C$82)/30</f>
        <v>310.9486090237212</v>
      </c>
      <c r="AV55" s="34">
        <f>(AV15*Assumptions!$C$78+AV16*Assumptions!$C$79+AV17*Assumptions!$C$80+AV19*Assumptions!$C$81+AV20*Assumptions!$C$82)/30</f>
        <v>315.8167690746107</v>
      </c>
      <c r="AW55" s="34">
        <f>(AW15*Assumptions!$C$78+AW16*Assumptions!$C$79+AW17*Assumptions!$C$80+AW19*Assumptions!$C$81+AW20*Assumptions!$C$82)/30</f>
        <v>320.81835786460255</v>
      </c>
      <c r="AX55" s="34">
        <f>(AX15*Assumptions!$C$78+AX16*Assumptions!$C$79+AX17*Assumptions!$C$80+AX19*Assumptions!$C$81+AX20*Assumptions!$C$82)/30</f>
        <v>325.957032469111</v>
      </c>
      <c r="AY55" s="34">
        <f>(AY15*Assumptions!$C$78+AY16*Assumptions!$C$79+AY17*Assumptions!$C$80+AY19*Assumptions!$C$81+AY20*Assumptions!$C$82)/30</f>
        <v>331.2365501983286</v>
      </c>
      <c r="AZ55" s="34">
        <f>(AZ15*Assumptions!$C$78+AZ16*Assumptions!$C$79+AZ17*Assumptions!$C$80+AZ19*Assumptions!$C$81+AZ20*Assumptions!$C$82)/30</f>
        <v>336.6607713445093</v>
      </c>
      <c r="BA55" s="34">
        <f>(BA15*Assumptions!$C$78+BA16*Assumptions!$C$79+BA17*Assumptions!$C$80+BA19*Assumptions!$C$81+BA20*Assumptions!$C$82)/30</f>
        <v>342.23366200455007</v>
      </c>
      <c r="BB55" s="34">
        <f>(BB15*Assumptions!$C$78+BB16*Assumptions!$C$79+BB17*Assumptions!$C$80+BB19*Assumptions!$C$81+BB20*Assumptions!$C$82)/30</f>
        <v>347.9592969799305</v>
      </c>
      <c r="BC55" s="34">
        <f>(BC15*Assumptions!$C$78+BC16*Assumptions!$C$79+BC17*Assumptions!$C$80+BC19*Assumptions!$C$81+BC20*Assumptions!$C$82)/30</f>
        <v>353.84186275613564</v>
      </c>
    </row>
    <row r="56">
      <c r="A56" s="4" t="inlineStr">
        <is>
          <t>TDS withheld this month</t>
        </is>
      </c>
      <c r="B56" s="2" t="inlineStr">
        <is>
          <t>₹ lakh</t>
        </is>
      </c>
      <c r="C56" s="34">
        <f>Assumptions!$C$83*(C15+C16+C17+C20)</f>
        <v>0.07296000000000001</v>
      </c>
      <c r="D56" s="34">
        <f>Assumptions!$C$83*(D15+D16+D17+D20)</f>
        <v>0.12768000000000002</v>
      </c>
      <c r="E56" s="34">
        <f>Assumptions!$C$83*(E15+E16+E17+E20)</f>
        <v>0.22044364800000002</v>
      </c>
      <c r="F56" s="34">
        <f>Assumptions!$C$83*(F15+F16+F17+F20)</f>
        <v>0.30369638400000004</v>
      </c>
      <c r="G56" s="34">
        <f>Assumptions!$C$83*(G15+G16+G17+G20)</f>
        <v>0.38694912000000004</v>
      </c>
      <c r="H56" s="34">
        <f>Assumptions!$C$83*(H15+H16+H17+H20)</f>
        <v>0.5214109368031956</v>
      </c>
      <c r="I56" s="34">
        <f>Assumptions!$C$83*(I15+I16+I17+I20)</f>
        <v>0.5963792186123987</v>
      </c>
      <c r="J56" s="34">
        <f>Assumptions!$C$83*(J15+J16+J17+J20)</f>
        <v>0.6709296645507675</v>
      </c>
      <c r="K56" s="34">
        <f>Assumptions!$C$83*(K15+K16+K17+K20)</f>
        <v>0.7559721574855576</v>
      </c>
      <c r="L56" s="34">
        <f>Assumptions!$C$83*(L15+L16+L17+L20)</f>
        <v>0.8529833223891534</v>
      </c>
      <c r="M56" s="34">
        <f>Assumptions!$C$83*(M15+M16+M17+M20)</f>
        <v>0.9636476008125289</v>
      </c>
      <c r="N56" s="34">
        <f>Assumptions!$C$83*(N15+N16+N17+N20)</f>
        <v>1.0898864984810095</v>
      </c>
      <c r="O56" s="34">
        <f>Assumptions!$C$83*(O15+O16+O17+O20)</f>
        <v>1.2338919491250326</v>
      </c>
      <c r="P56" s="34">
        <f>Assumptions!$C$83*(P15+P16+P17+P20)</f>
        <v>1.3981643738545932</v>
      </c>
      <c r="Q56" s="34">
        <f>Assumptions!$C$83*(Q15+Q16+Q17+Q20)</f>
        <v>1.5855560969167692</v>
      </c>
      <c r="R56" s="34">
        <f>Assumptions!$C$83*(R15+R16+R17+R20)</f>
        <v>1.7993208716805376</v>
      </c>
      <c r="S56" s="34">
        <f>Assumptions!$C$83*(S15+S16+S17+S20)</f>
        <v>2.043170376787232</v>
      </c>
      <c r="T56" s="34">
        <f>Assumptions!$C$83*(T15+T16+T17+T20)</f>
        <v>2.3467623758674567</v>
      </c>
      <c r="U56" s="34">
        <f>Assumptions!$C$83*(U15+U16+U17+U20)</f>
        <v>2.5434515152504162</v>
      </c>
      <c r="V56" s="34">
        <f>Assumptions!$C$83*(V15+V16+V17+V20)</f>
        <v>2.7104874736691404</v>
      </c>
      <c r="W56" s="34">
        <f>Assumptions!$C$83*(W15+W16+W17+W20)</f>
        <v>2.8894293798846293</v>
      </c>
      <c r="X56" s="34">
        <f>Assumptions!$C$83*(X15+X16+X17+X20)</f>
        <v>3.0811258631039355</v>
      </c>
      <c r="Y56" s="34">
        <f>Assumptions!$C$83*(Y15+Y16+Y17+Y20)</f>
        <v>3.2864860409171475</v>
      </c>
      <c r="Z56" s="34">
        <f>Assumptions!$C$83*(Z15+Z16+Z17+Z20)</f>
        <v>3.5064838307734805</v>
      </c>
      <c r="AA56" s="34">
        <f>Assumptions!$C$83*(AA15+AA16+AA17+AA20)</f>
        <v>3.742162568769565</v>
      </c>
      <c r="AB56" s="34">
        <f>Assumptions!$C$83*(AB15+AB16+AB17+AB20)</f>
        <v>3.994639957654665</v>
      </c>
      <c r="AC56" s="34">
        <f>Assumptions!$C$83*(AC15+AC16+AC17+AC20)</f>
        <v>4.265113367518688</v>
      </c>
      <c r="AD56" s="34">
        <f>Assumptions!$C$83*(AD15+AD16+AD17+AD20)</f>
        <v>4.554865514301053</v>
      </c>
      <c r="AE56" s="34">
        <f>Assumptions!$C$83*(AE15+AE16+AE17+AE20)</f>
        <v>4.865270543051195</v>
      </c>
      <c r="AF56" s="34">
        <f>Assumptions!$C$83*(AF15+AF16+AF17+AF20)</f>
        <v>5.330799378698914</v>
      </c>
      <c r="AG56" s="34">
        <f>Assumptions!$C$83*(AG15+AG16+AG17+AG20)</f>
        <v>5.63579283329993</v>
      </c>
      <c r="AH56" s="34">
        <f>Assumptions!$C$83*(AH15+AH16+AH17+AH20)</f>
        <v>5.93794504038894</v>
      </c>
      <c r="AI56" s="34">
        <f>Assumptions!$C$83*(AI15+AI16+AI17+AI20)</f>
        <v>6.257534139875291</v>
      </c>
      <c r="AJ56" s="34">
        <f>Assumptions!$C$83*(AJ15+AJ16+AJ17+AJ20)</f>
        <v>6.595566396844345</v>
      </c>
      <c r="AK56" s="34">
        <f>Assumptions!$C$83*(AK15+AK16+AK17+AK20)</f>
        <v>6.953106146902272</v>
      </c>
      <c r="AL56" s="34">
        <f>Assumptions!$C$83*(AL15+AL16+AL17+AL20)</f>
        <v>7.331279147365999</v>
      </c>
      <c r="AM56" s="34">
        <f>Assumptions!$C$83*(AM15+AM16+AM17+AM20)</f>
        <v>7.73127612184652</v>
      </c>
      <c r="AN56" s="34">
        <f>Assumptions!$C$83*(AN15+AN16+AN17+AN20)</f>
        <v>8.154356509387146</v>
      </c>
      <c r="AO56" s="34">
        <f>Assumptions!$C$83*(AO15+AO16+AO17+AO20)</f>
        <v>8.601852429960054</v>
      </c>
      <c r="AP56" s="34">
        <f>Assumptions!$C$83*(AP15+AP16+AP17+AP20)</f>
        <v>9.075172878807734</v>
      </c>
      <c r="AQ56" s="34">
        <f>Assumptions!$C$83*(AQ15+AQ16+AQ17+AQ20)</f>
        <v>9.575808162835726</v>
      </c>
      <c r="AR56" s="34">
        <f>Assumptions!$C$83*(AR15+AR16+AR17+AR20)</f>
        <v>10.133854573273588</v>
      </c>
      <c r="AS56" s="34">
        <f>Assumptions!$C$83*(AS15+AS16+AS17+AS20)</f>
        <v>10.482596614393573</v>
      </c>
      <c r="AT56" s="34">
        <f>Assumptions!$C$83*(AT15+AT16+AT17+AT20)</f>
        <v>10.75163607537522</v>
      </c>
      <c r="AU56" s="34">
        <f>Assumptions!$C$83*(AU15+AU16+AU17+AU20)</f>
        <v>11.02804949195253</v>
      </c>
      <c r="AV56" s="34">
        <f>Assumptions!$C$83*(AV15+AV16+AV17+AV20)</f>
        <v>11.312038972845762</v>
      </c>
      <c r="AW56" s="34">
        <f>Assumptions!$C$83*(AW15+AW16+AW17+AW20)</f>
        <v>11.603812166262488</v>
      </c>
      <c r="AX56" s="34">
        <f>Assumptions!$C$83*(AX15+AX16+AX17+AX20)</f>
        <v>11.903582411726628</v>
      </c>
      <c r="AY56" s="34">
        <f>Assumptions!$C$83*(AY15+AY16+AY17+AY20)</f>
        <v>12.211568896068547</v>
      </c>
      <c r="AZ56" s="34">
        <f>Assumptions!$C$83*(AZ15+AZ16+AZ17+AZ20)</f>
        <v>12.52799681369067</v>
      </c>
      <c r="BA56" s="34">
        <f>Assumptions!$C$83*(BA15+BA16+BA17+BA20)</f>
        <v>12.85309753122572</v>
      </c>
      <c r="BB56" s="34">
        <f>Assumptions!$C$83*(BB15+BB16+BB17+BB20)</f>
        <v>13.187108756708255</v>
      </c>
      <c r="BC56" s="34">
        <f>Assumptions!$C$83*(BC15+BC16+BC17+BC20)</f>
        <v>13.530274713382251</v>
      </c>
    </row>
    <row r="57">
      <c r="A57" s="4" t="inlineStr">
        <is>
          <t>TDS awaiting refund (trailing 12 months)</t>
        </is>
      </c>
      <c r="B57" s="2" t="inlineStr">
        <is>
          <t>₹ lakh</t>
        </is>
      </c>
      <c r="C57" s="34">
        <f>SUM(C56:C56)</f>
        <v>0.07296000000000001</v>
      </c>
      <c r="D57" s="34">
        <f>SUM(C56:D56)</f>
        <v>0.20064000000000004</v>
      </c>
      <c r="E57" s="34">
        <f>SUM(C56:E56)</f>
        <v>0.4210836480000001</v>
      </c>
      <c r="F57" s="34">
        <f>SUM(C56:F56)</f>
        <v>0.7247800320000002</v>
      </c>
      <c r="G57" s="34">
        <f>SUM(C56:G56)</f>
        <v>1.111729152</v>
      </c>
      <c r="H57" s="34">
        <f>SUM(C56:H56)</f>
        <v>1.6331400888031957</v>
      </c>
      <c r="I57" s="34">
        <f>SUM(C56:I56)</f>
        <v>2.2295193074155946</v>
      </c>
      <c r="J57" s="34">
        <f>SUM(C56:J56)</f>
        <v>2.900448971966362</v>
      </c>
      <c r="K57" s="34">
        <f>SUM(C56:K56)</f>
        <v>3.6564211294519193</v>
      </c>
      <c r="L57" s="34">
        <f>SUM(C56:L56)</f>
        <v>4.509404451841073</v>
      </c>
      <c r="M57" s="34">
        <f>SUM(C56:M56)</f>
        <v>5.4730520526536015</v>
      </c>
      <c r="N57" s="34">
        <f>SUM(C56:N56)</f>
        <v>6.562938551134611</v>
      </c>
      <c r="O57" s="34">
        <f>SUM(D56:O56)</f>
        <v>7.723870500259644</v>
      </c>
      <c r="P57" s="34">
        <f>SUM(E56:P56)</f>
        <v>8.994354874114237</v>
      </c>
      <c r="Q57" s="34">
        <f>SUM(F56:Q56)</f>
        <v>10.359467323031005</v>
      </c>
      <c r="R57" s="34">
        <f>SUM(G56:R56)</f>
        <v>11.855091810711544</v>
      </c>
      <c r="S57" s="34">
        <f>SUM(H56:S56)</f>
        <v>13.511313067498776</v>
      </c>
      <c r="T57" s="34">
        <f>SUM(I56:T56)</f>
        <v>15.336664506563036</v>
      </c>
      <c r="U57" s="34">
        <f>SUM(J56:U56)</f>
        <v>17.283736803201055</v>
      </c>
      <c r="V57" s="34">
        <f>SUM(K56:V56)</f>
        <v>19.323294612319426</v>
      </c>
      <c r="W57" s="34">
        <f>SUM(L56:W56)</f>
        <v>21.4567518347185</v>
      </c>
      <c r="X57" s="34">
        <f>SUM(M56:X56)</f>
        <v>23.68489437543328</v>
      </c>
      <c r="Y57" s="34">
        <f>SUM(N56:Y56)</f>
        <v>26.0077328155379</v>
      </c>
      <c r="Z57" s="34">
        <f>SUM(O56:Z56)</f>
        <v>28.424330147830368</v>
      </c>
      <c r="AA57" s="34">
        <f>SUM(P56:AA56)</f>
        <v>30.932600767474902</v>
      </c>
      <c r="AB57" s="34">
        <f>SUM(Q56:AB56)</f>
        <v>33.52907635127497</v>
      </c>
      <c r="AC57" s="34">
        <f>SUM(R56:AC56)</f>
        <v>36.2086336218769</v>
      </c>
      <c r="AD57" s="34">
        <f>SUM(S56:AD56)</f>
        <v>38.964178264497406</v>
      </c>
      <c r="AE57" s="34">
        <f>SUM(T56:AE56)</f>
        <v>41.78627843076137</v>
      </c>
      <c r="AF57" s="34">
        <f>SUM(U56:AF56)</f>
        <v>44.77031543359283</v>
      </c>
      <c r="AG57" s="34">
        <f>SUM(V56:AG56)</f>
        <v>47.86265675164235</v>
      </c>
      <c r="AH57" s="34">
        <f>SUM(W56:AH56)</f>
        <v>51.09011431836214</v>
      </c>
      <c r="AI57" s="34">
        <f>SUM(X56:AI56)</f>
        <v>54.458219078352805</v>
      </c>
      <c r="AJ57" s="34">
        <f>SUM(Y56:AJ56)</f>
        <v>57.97265961209321</v>
      </c>
      <c r="AK57" s="34">
        <f>SUM(Z56:AK56)</f>
        <v>61.63927971807834</v>
      </c>
      <c r="AL57" s="34">
        <f>SUM(AA56:AL56)</f>
        <v>65.46407503467086</v>
      </c>
      <c r="AM57" s="34">
        <f>SUM(AB56:AM56)</f>
        <v>69.4531885877478</v>
      </c>
      <c r="AN57" s="34">
        <f>SUM(AC56:AN56)</f>
        <v>73.61290513948028</v>
      </c>
      <c r="AO57" s="34">
        <f>SUM(AD56:AO56)</f>
        <v>77.94964420192167</v>
      </c>
      <c r="AP57" s="34">
        <f>SUM(AE56:AP56)</f>
        <v>82.46995156642834</v>
      </c>
      <c r="AQ57" s="34">
        <f>SUM(AF56:AQ56)</f>
        <v>87.18048918621287</v>
      </c>
      <c r="AR57" s="34">
        <f>SUM(AG56:AR56)</f>
        <v>91.98354438078755</v>
      </c>
      <c r="AS57" s="34">
        <f>SUM(AH56:AS56)</f>
        <v>96.8303481618812</v>
      </c>
      <c r="AT57" s="34">
        <f>SUM(AI56:AT56)</f>
        <v>101.64403919686745</v>
      </c>
      <c r="AU57" s="34">
        <f>SUM(AJ56:AU56)</f>
        <v>106.41455454894471</v>
      </c>
      <c r="AV57" s="34">
        <f>SUM(AK56:AV56)</f>
        <v>111.13102712494612</v>
      </c>
      <c r="AW57" s="34">
        <f>SUM(AL56:AW56)</f>
        <v>115.78173314430634</v>
      </c>
      <c r="AX57" s="34">
        <f>SUM(AM56:AX56)</f>
        <v>120.35403640866699</v>
      </c>
      <c r="AY57" s="34">
        <f>SUM(AN56:AY56)</f>
        <v>124.83432918288901</v>
      </c>
      <c r="AZ57" s="34">
        <f>SUM(AO56:AZ56)</f>
        <v>129.2079694871925</v>
      </c>
      <c r="BA57" s="34">
        <f>SUM(AP56:BA56)</f>
        <v>133.4592145884582</v>
      </c>
      <c r="BB57" s="34">
        <f>SUM(AQ56:BB56)</f>
        <v>137.5711504663587</v>
      </c>
      <c r="BC57" s="34">
        <f>SUM(AR56:BC56)</f>
        <v>141.52561701690522</v>
      </c>
    </row>
    <row r="58">
      <c r="A58" s="4" t="inlineStr">
        <is>
          <t>Working capital</t>
        </is>
      </c>
      <c r="B58" s="2" t="inlineStr">
        <is>
          <t>₹ lakh</t>
        </is>
      </c>
      <c r="C58" s="34">
        <f>C55+C57</f>
        <v>0.07296000000000001</v>
      </c>
      <c r="D58" s="34">
        <f>D55+D57</f>
        <v>0.20064000000000004</v>
      </c>
      <c r="E58" s="34">
        <f>E55+E57</f>
        <v>2.466626048</v>
      </c>
      <c r="F58" s="34">
        <f>F55+F57</f>
        <v>4.304479232</v>
      </c>
      <c r="G58" s="34">
        <f>G55+G57</f>
        <v>6.225585151999999</v>
      </c>
      <c r="H58" s="34">
        <f>H55+H57</f>
        <v>21.52396462213653</v>
      </c>
      <c r="I58" s="34">
        <f>I55+I57</f>
        <v>23.633611040748928</v>
      </c>
      <c r="J58" s="34">
        <f>J55+J57</f>
        <v>25.440399456561682</v>
      </c>
      <c r="K58" s="34">
        <f>K55+K57</f>
        <v>27.49208834133502</v>
      </c>
      <c r="L58" s="34">
        <f>L55+L57</f>
        <v>29.823144386682245</v>
      </c>
      <c r="M58" s="34">
        <f>M55+M57</f>
        <v>32.472885041897015</v>
      </c>
      <c r="N58" s="34">
        <f>N55+N57</f>
        <v>35.48616119769726</v>
      </c>
      <c r="O58" s="34">
        <f>O55+O57</f>
        <v>38.841175949206324</v>
      </c>
      <c r="P58" s="34">
        <f>P55+P57</f>
        <v>42.61453296012522</v>
      </c>
      <c r="Q58" s="34">
        <f>Q55+Q57</f>
        <v>46.83476620510246</v>
      </c>
      <c r="R58" s="34">
        <f>R55+R57</f>
        <v>51.58733419017915</v>
      </c>
      <c r="S58" s="34">
        <f>S55+S57</f>
        <v>56.95887318759137</v>
      </c>
      <c r="T58" s="34">
        <f>T55+T57</f>
        <v>89.21488237858635</v>
      </c>
      <c r="U58" s="34">
        <f>U55+U57</f>
        <v>95.92989200402536</v>
      </c>
      <c r="V58" s="34">
        <f>V55+V57</f>
        <v>100.72406092037548</v>
      </c>
      <c r="W58" s="34">
        <f>W55+W57</f>
        <v>105.80847174029157</v>
      </c>
      <c r="X58" s="34">
        <f>X55+X57</f>
        <v>111.19790522034754</v>
      </c>
      <c r="Y58" s="34">
        <f>Y55+Y57</f>
        <v>116.907364314727</v>
      </c>
      <c r="Z58" s="34">
        <f>Z55+Z57</f>
        <v>122.95197301200693</v>
      </c>
      <c r="AA58" s="34">
        <f>AA55+AA57</f>
        <v>129.34685149482152</v>
      </c>
      <c r="AB58" s="34">
        <f>AB55+AB57</f>
        <v>136.10696361731513</v>
      </c>
      <c r="AC58" s="34">
        <f>AC55+AC57</f>
        <v>143.2469320836592</v>
      </c>
      <c r="AD58" s="34">
        <f>AD55+AD57</f>
        <v>150.78081600978965</v>
      </c>
      <c r="AE58" s="34">
        <f>AE55+AE57</f>
        <v>158.7218447470645</v>
      </c>
      <c r="AF58" s="34">
        <f>AF55+AF57</f>
        <v>206.03600858731798</v>
      </c>
      <c r="AG58" s="34">
        <f>AG55+AG57</f>
        <v>214.92078591445772</v>
      </c>
      <c r="AH58" s="34">
        <f>AH55+AH57</f>
        <v>223.17227837122954</v>
      </c>
      <c r="AI58" s="34">
        <f>AI55+AI57</f>
        <v>231.85434989574878</v>
      </c>
      <c r="AJ58" s="34">
        <f>AJ55+AJ57</f>
        <v>240.98942073809127</v>
      </c>
      <c r="AK58" s="34">
        <f>AK55+AK57</f>
        <v>250.6010319337577</v>
      </c>
      <c r="AL58" s="34">
        <f>AL55+AL57</f>
        <v>260.7138976474191</v>
      </c>
      <c r="AM58" s="34">
        <f>AM55+AM57</f>
        <v>271.3539596581172</v>
      </c>
      <c r="AN58" s="34">
        <f>AN55+AN57</f>
        <v>282.5484440468267</v>
      </c>
      <c r="AO58" s="34">
        <f>AO55+AO57</f>
        <v>294.3259201463204</v>
      </c>
      <c r="AP58" s="34">
        <f>AP55+AP57</f>
        <v>306.7163618119978</v>
      </c>
      <c r="AQ58" s="34">
        <f>AQ55+AQ57</f>
        <v>319.75121107054156</v>
      </c>
      <c r="AR58" s="34">
        <f>AR55+AR57</f>
        <v>384.4013741242393</v>
      </c>
      <c r="AS58" s="34">
        <f>AS55+AS57</f>
        <v>398.428780200797</v>
      </c>
      <c r="AT58" s="34">
        <f>AT55+AT57</f>
        <v>407.8543573941847</v>
      </c>
      <c r="AU58" s="34">
        <f>AU55+AU57</f>
        <v>417.3631635726659</v>
      </c>
      <c r="AV58" s="34">
        <f>AV55+AV57</f>
        <v>426.9477961995568</v>
      </c>
      <c r="AW58" s="34">
        <f>AW55+AW57</f>
        <v>436.60009100890886</v>
      </c>
      <c r="AX58" s="34">
        <f>AX55+AX57</f>
        <v>446.311068877778</v>
      </c>
      <c r="AY58" s="34">
        <f>AY55+AY57</f>
        <v>456.0708793812176</v>
      </c>
      <c r="AZ58" s="34">
        <f>AZ55+AZ57</f>
        <v>465.86874083170187</v>
      </c>
      <c r="BA58" s="34">
        <f>BA55+BA57</f>
        <v>475.69287659300824</v>
      </c>
      <c r="BB58" s="34">
        <f>BB55+BB57</f>
        <v>485.5304474462892</v>
      </c>
      <c r="BC58" s="34">
        <f>BC55+BC57</f>
        <v>495.3674797730408</v>
      </c>
    </row>
    <row r="59">
      <c r="A59" s="4" t="inlineStr">
        <is>
          <t>Increase in working capital</t>
        </is>
      </c>
      <c r="B59" s="2" t="inlineStr">
        <is>
          <t>₹ lakh</t>
        </is>
      </c>
      <c r="C59" s="34">
        <f>C58</f>
        <v>0.07296000000000001</v>
      </c>
      <c r="D59" s="34">
        <f>D58-C58</f>
        <v>0.12768000000000002</v>
      </c>
      <c r="E59" s="34">
        <f>E58-D58</f>
        <v>2.2659860480000003</v>
      </c>
      <c r="F59" s="34">
        <f>F58-E58</f>
        <v>1.837853184</v>
      </c>
      <c r="G59" s="34">
        <f>G58-F58</f>
        <v>1.9211059199999987</v>
      </c>
      <c r="H59" s="34">
        <f>H58-G58</f>
        <v>15.29837947013653</v>
      </c>
      <c r="I59" s="34">
        <f>I58-H58</f>
        <v>2.1096464186123995</v>
      </c>
      <c r="J59" s="34">
        <f>J58-I58</f>
        <v>1.806788415812754</v>
      </c>
      <c r="K59" s="34">
        <f>K58-J58</f>
        <v>2.0516888847733377</v>
      </c>
      <c r="L59" s="34">
        <f>L58-K58</f>
        <v>2.331056045347225</v>
      </c>
      <c r="M59" s="34">
        <f>M58-L58</f>
        <v>2.649740655214771</v>
      </c>
      <c r="N59" s="34">
        <f>N58-M58</f>
        <v>3.0132761558002414</v>
      </c>
      <c r="O59" s="34">
        <f>O58-N58</f>
        <v>3.355014751509067</v>
      </c>
      <c r="P59" s="34">
        <f>P58-O58</f>
        <v>3.773357010918893</v>
      </c>
      <c r="Q59" s="34">
        <f>Q58-P58</f>
        <v>4.220233244977244</v>
      </c>
      <c r="R59" s="34">
        <f>R58-Q58</f>
        <v>4.752567985076688</v>
      </c>
      <c r="S59" s="34">
        <f>S58-R58</f>
        <v>5.371538997412223</v>
      </c>
      <c r="T59" s="34">
        <f>T58-S58</f>
        <v>32.25600919099498</v>
      </c>
      <c r="U59" s="34">
        <f>U58-T58</f>
        <v>6.715009625439009</v>
      </c>
      <c r="V59" s="34">
        <f>V58-U58</f>
        <v>4.794168916350117</v>
      </c>
      <c r="W59" s="34">
        <f>W58-V58</f>
        <v>5.084410819916087</v>
      </c>
      <c r="X59" s="34">
        <f>X58-W58</f>
        <v>5.3894334800559704</v>
      </c>
      <c r="Y59" s="34">
        <f>Y58-X58</f>
        <v>5.7094590943794685</v>
      </c>
      <c r="Z59" s="34">
        <f>Z58-Y58</f>
        <v>6.0446086972799264</v>
      </c>
      <c r="AA59" s="34">
        <f>AA58-Z58</f>
        <v>6.39487848281459</v>
      </c>
      <c r="AB59" s="34">
        <f>AB58-AA58</f>
        <v>6.760112122493609</v>
      </c>
      <c r="AC59" s="34">
        <f>AC58-AB58</f>
        <v>7.139968466344072</v>
      </c>
      <c r="AD59" s="34">
        <f>AD58-AC58</f>
        <v>7.533883926130443</v>
      </c>
      <c r="AE59" s="34">
        <f>AE58-AD58</f>
        <v>7.9410287372748485</v>
      </c>
      <c r="AF59" s="34">
        <f>AF58-AE58</f>
        <v>47.314163840253485</v>
      </c>
      <c r="AG59" s="34">
        <f>AG58-AF58</f>
        <v>8.884777327139744</v>
      </c>
      <c r="AH59" s="34">
        <f>AH58-AG58</f>
        <v>8.251492456771814</v>
      </c>
      <c r="AI59" s="34">
        <f>AI58-AH58</f>
        <v>8.682071524519245</v>
      </c>
      <c r="AJ59" s="34">
        <f>AJ58-AI58</f>
        <v>9.135070842342486</v>
      </c>
      <c r="AK59" s="34">
        <f>AK58-AJ58</f>
        <v>9.611611195666427</v>
      </c>
      <c r="AL59" s="34">
        <f>AL58-AK58</f>
        <v>10.11286571366142</v>
      </c>
      <c r="AM59" s="34">
        <f>AM58-AL58</f>
        <v>10.640062010698102</v>
      </c>
      <c r="AN59" s="34">
        <f>AN58-AM58</f>
        <v>11.194484388709498</v>
      </c>
      <c r="AO59" s="34">
        <f>AO58-AN58</f>
        <v>11.777476099493697</v>
      </c>
      <c r="AP59" s="34">
        <f>AP58-AO58</f>
        <v>12.390441665677372</v>
      </c>
      <c r="AQ59" s="34">
        <f>AQ58-AP58</f>
        <v>13.034849258543773</v>
      </c>
      <c r="AR59" s="34">
        <f>AR58-AQ58</f>
        <v>64.65016305369772</v>
      </c>
      <c r="AS59" s="34">
        <f>AS58-AR58</f>
        <v>14.027406076557725</v>
      </c>
      <c r="AT59" s="34">
        <f>AT58-AS58</f>
        <v>9.42557719338771</v>
      </c>
      <c r="AU59" s="34">
        <f>AU58-AT58</f>
        <v>9.508806178481166</v>
      </c>
      <c r="AV59" s="34">
        <f>AV58-AU58</f>
        <v>9.584632626890937</v>
      </c>
      <c r="AW59" s="34">
        <f>AW58-AV58</f>
        <v>9.652294809352043</v>
      </c>
      <c r="AX59" s="34">
        <f>AX58-AW58</f>
        <v>9.710977868869122</v>
      </c>
      <c r="AY59" s="34">
        <f>AY58-AX58</f>
        <v>9.75981050343961</v>
      </c>
      <c r="AZ59" s="34">
        <f>AZ58-AY58</f>
        <v>9.797861450484277</v>
      </c>
      <c r="BA59" s="34">
        <f>BA58-AZ58</f>
        <v>9.824135761306366</v>
      </c>
      <c r="BB59" s="34">
        <f>BB58-BA58</f>
        <v>9.837570853280965</v>
      </c>
      <c r="BC59" s="34">
        <f>BC58-BB58</f>
        <v>9.837032326751626</v>
      </c>
    </row>
    <row r="60">
      <c r="A60" s="13" t="inlineStr">
        <is>
          <t>Cash</t>
        </is>
      </c>
      <c r="B60" s="14" t="n"/>
    </row>
    <row r="61">
      <c r="A61" s="4" t="inlineStr">
        <is>
          <t>Equity raised</t>
        </is>
      </c>
      <c r="B61" s="2" t="inlineStr">
        <is>
          <t>₹ lakh</t>
        </is>
      </c>
      <c r="C61" s="34">
        <f>IF(C8=1,Assumptions!$C$87,0)+IF(C8=Assumptions!$C$90,Assumptions!$C$89,0)</f>
        <v>600.0</v>
      </c>
      <c r="D61" s="34">
        <f>IF(D8=1,Assumptions!$C$87,0)+IF(D8=Assumptions!$C$90,Assumptions!$C$89,0)</f>
        <v>0.0</v>
      </c>
      <c r="E61" s="34">
        <f>IF(E8=1,Assumptions!$C$87,0)+IF(E8=Assumptions!$C$90,Assumptions!$C$89,0)</f>
        <v>0.0</v>
      </c>
      <c r="F61" s="34">
        <f>IF(F8=1,Assumptions!$C$87,0)+IF(F8=Assumptions!$C$90,Assumptions!$C$89,0)</f>
        <v>0.0</v>
      </c>
      <c r="G61" s="34">
        <f>IF(G8=1,Assumptions!$C$87,0)+IF(G8=Assumptions!$C$90,Assumptions!$C$89,0)</f>
        <v>0.0</v>
      </c>
      <c r="H61" s="34">
        <f>IF(H8=1,Assumptions!$C$87,0)+IF(H8=Assumptions!$C$90,Assumptions!$C$89,0)</f>
        <v>0.0</v>
      </c>
      <c r="I61" s="34">
        <f>IF(I8=1,Assumptions!$C$87,0)+IF(I8=Assumptions!$C$90,Assumptions!$C$89,0)</f>
        <v>0.0</v>
      </c>
      <c r="J61" s="34">
        <f>IF(J8=1,Assumptions!$C$87,0)+IF(J8=Assumptions!$C$90,Assumptions!$C$89,0)</f>
        <v>0.0</v>
      </c>
      <c r="K61" s="34">
        <f>IF(K8=1,Assumptions!$C$87,0)+IF(K8=Assumptions!$C$90,Assumptions!$C$89,0)</f>
        <v>0.0</v>
      </c>
      <c r="L61" s="34">
        <f>IF(L8=1,Assumptions!$C$87,0)+IF(L8=Assumptions!$C$90,Assumptions!$C$89,0)</f>
        <v>0.0</v>
      </c>
      <c r="M61" s="34">
        <f>IF(M8=1,Assumptions!$C$87,0)+IF(M8=Assumptions!$C$90,Assumptions!$C$89,0)</f>
        <v>0.0</v>
      </c>
      <c r="N61" s="34">
        <f>IF(N8=1,Assumptions!$C$87,0)+IF(N8=Assumptions!$C$90,Assumptions!$C$89,0)</f>
        <v>0.0</v>
      </c>
      <c r="O61" s="34">
        <f>IF(O8=1,Assumptions!$C$87,0)+IF(O8=Assumptions!$C$90,Assumptions!$C$89,0)</f>
        <v>0.0</v>
      </c>
      <c r="P61" s="34">
        <f>IF(P8=1,Assumptions!$C$87,0)+IF(P8=Assumptions!$C$90,Assumptions!$C$89,0)</f>
        <v>0.0</v>
      </c>
      <c r="Q61" s="34">
        <f>IF(Q8=1,Assumptions!$C$87,0)+IF(Q8=Assumptions!$C$90,Assumptions!$C$89,0)</f>
        <v>0.0</v>
      </c>
      <c r="R61" s="34">
        <f>IF(R8=1,Assumptions!$C$87,0)+IF(R8=Assumptions!$C$90,Assumptions!$C$89,0)</f>
        <v>0.0</v>
      </c>
      <c r="S61" s="34">
        <f>IF(S8=1,Assumptions!$C$87,0)+IF(S8=Assumptions!$C$90,Assumptions!$C$89,0)</f>
        <v>0.0</v>
      </c>
      <c r="T61" s="34">
        <f>IF(T8=1,Assumptions!$C$87,0)+IF(T8=Assumptions!$C$90,Assumptions!$C$89,0)</f>
        <v>0.0</v>
      </c>
      <c r="U61" s="34">
        <f>IF(U8=1,Assumptions!$C$87,0)+IF(U8=Assumptions!$C$90,Assumptions!$C$89,0)</f>
        <v>0.0</v>
      </c>
      <c r="V61" s="34">
        <f>IF(V8=1,Assumptions!$C$87,0)+IF(V8=Assumptions!$C$90,Assumptions!$C$89,0)</f>
        <v>0.0</v>
      </c>
      <c r="W61" s="34">
        <f>IF(W8=1,Assumptions!$C$87,0)+IF(W8=Assumptions!$C$90,Assumptions!$C$89,0)</f>
        <v>0.0</v>
      </c>
      <c r="X61" s="34">
        <f>IF(X8=1,Assumptions!$C$87,0)+IF(X8=Assumptions!$C$90,Assumptions!$C$89,0)</f>
        <v>0.0</v>
      </c>
      <c r="Y61" s="34">
        <f>IF(Y8=1,Assumptions!$C$87,0)+IF(Y8=Assumptions!$C$90,Assumptions!$C$89,0)</f>
        <v>0.0</v>
      </c>
      <c r="Z61" s="34">
        <f>IF(Z8=1,Assumptions!$C$87,0)+IF(Z8=Assumptions!$C$90,Assumptions!$C$89,0)</f>
        <v>0.0</v>
      </c>
      <c r="AA61" s="34">
        <f>IF(AA8=1,Assumptions!$C$87,0)+IF(AA8=Assumptions!$C$90,Assumptions!$C$89,0)</f>
        <v>0.0</v>
      </c>
      <c r="AB61" s="34">
        <f>IF(AB8=1,Assumptions!$C$87,0)+IF(AB8=Assumptions!$C$90,Assumptions!$C$89,0)</f>
        <v>0.0</v>
      </c>
      <c r="AC61" s="34">
        <f>IF(AC8=1,Assumptions!$C$87,0)+IF(AC8=Assumptions!$C$90,Assumptions!$C$89,0)</f>
        <v>0.0</v>
      </c>
      <c r="AD61" s="34">
        <f>IF(AD8=1,Assumptions!$C$87,0)+IF(AD8=Assumptions!$C$90,Assumptions!$C$89,0)</f>
        <v>0.0</v>
      </c>
      <c r="AE61" s="34">
        <f>IF(AE8=1,Assumptions!$C$87,0)+IF(AE8=Assumptions!$C$90,Assumptions!$C$89,0)</f>
        <v>0.0</v>
      </c>
      <c r="AF61" s="34">
        <f>IF(AF8=1,Assumptions!$C$87,0)+IF(AF8=Assumptions!$C$90,Assumptions!$C$89,0)</f>
        <v>0.0</v>
      </c>
      <c r="AG61" s="34">
        <f>IF(AG8=1,Assumptions!$C$87,0)+IF(AG8=Assumptions!$C$90,Assumptions!$C$89,0)</f>
        <v>0.0</v>
      </c>
      <c r="AH61" s="34">
        <f>IF(AH8=1,Assumptions!$C$87,0)+IF(AH8=Assumptions!$C$90,Assumptions!$C$89,0)</f>
        <v>0.0</v>
      </c>
      <c r="AI61" s="34">
        <f>IF(AI8=1,Assumptions!$C$87,0)+IF(AI8=Assumptions!$C$90,Assumptions!$C$89,0)</f>
        <v>0.0</v>
      </c>
      <c r="AJ61" s="34">
        <f>IF(AJ8=1,Assumptions!$C$87,0)+IF(AJ8=Assumptions!$C$90,Assumptions!$C$89,0)</f>
        <v>0.0</v>
      </c>
      <c r="AK61" s="34">
        <f>IF(AK8=1,Assumptions!$C$87,0)+IF(AK8=Assumptions!$C$90,Assumptions!$C$89,0)</f>
        <v>0.0</v>
      </c>
      <c r="AL61" s="34">
        <f>IF(AL8=1,Assumptions!$C$87,0)+IF(AL8=Assumptions!$C$90,Assumptions!$C$89,0)</f>
        <v>0.0</v>
      </c>
      <c r="AM61" s="34">
        <f>IF(AM8=1,Assumptions!$C$87,0)+IF(AM8=Assumptions!$C$90,Assumptions!$C$89,0)</f>
        <v>0.0</v>
      </c>
      <c r="AN61" s="34">
        <f>IF(AN8=1,Assumptions!$C$87,0)+IF(AN8=Assumptions!$C$90,Assumptions!$C$89,0)</f>
        <v>0.0</v>
      </c>
      <c r="AO61" s="34">
        <f>IF(AO8=1,Assumptions!$C$87,0)+IF(AO8=Assumptions!$C$90,Assumptions!$C$89,0)</f>
        <v>0.0</v>
      </c>
      <c r="AP61" s="34">
        <f>IF(AP8=1,Assumptions!$C$87,0)+IF(AP8=Assumptions!$C$90,Assumptions!$C$89,0)</f>
        <v>0.0</v>
      </c>
      <c r="AQ61" s="34">
        <f>IF(AQ8=1,Assumptions!$C$87,0)+IF(AQ8=Assumptions!$C$90,Assumptions!$C$89,0)</f>
        <v>0.0</v>
      </c>
      <c r="AR61" s="34">
        <f>IF(AR8=1,Assumptions!$C$87,0)+IF(AR8=Assumptions!$C$90,Assumptions!$C$89,0)</f>
        <v>0.0</v>
      </c>
      <c r="AS61" s="34">
        <f>IF(AS8=1,Assumptions!$C$87,0)+IF(AS8=Assumptions!$C$90,Assumptions!$C$89,0)</f>
        <v>0.0</v>
      </c>
      <c r="AT61" s="34">
        <f>IF(AT8=1,Assumptions!$C$87,0)+IF(AT8=Assumptions!$C$90,Assumptions!$C$89,0)</f>
        <v>0.0</v>
      </c>
      <c r="AU61" s="34">
        <f>IF(AU8=1,Assumptions!$C$87,0)+IF(AU8=Assumptions!$C$90,Assumptions!$C$89,0)</f>
        <v>0.0</v>
      </c>
      <c r="AV61" s="34">
        <f>IF(AV8=1,Assumptions!$C$87,0)+IF(AV8=Assumptions!$C$90,Assumptions!$C$89,0)</f>
        <v>0.0</v>
      </c>
      <c r="AW61" s="34">
        <f>IF(AW8=1,Assumptions!$C$87,0)+IF(AW8=Assumptions!$C$90,Assumptions!$C$89,0)</f>
        <v>0.0</v>
      </c>
      <c r="AX61" s="34">
        <f>IF(AX8=1,Assumptions!$C$87,0)+IF(AX8=Assumptions!$C$90,Assumptions!$C$89,0)</f>
        <v>0.0</v>
      </c>
      <c r="AY61" s="34">
        <f>IF(AY8=1,Assumptions!$C$87,0)+IF(AY8=Assumptions!$C$90,Assumptions!$C$89,0)</f>
        <v>0.0</v>
      </c>
      <c r="AZ61" s="34">
        <f>IF(AZ8=1,Assumptions!$C$87,0)+IF(AZ8=Assumptions!$C$90,Assumptions!$C$89,0)</f>
        <v>0.0</v>
      </c>
      <c r="BA61" s="34">
        <f>IF(BA8=1,Assumptions!$C$87,0)+IF(BA8=Assumptions!$C$90,Assumptions!$C$89,0)</f>
        <v>0.0</v>
      </c>
      <c r="BB61" s="34">
        <f>IF(BB8=1,Assumptions!$C$87,0)+IF(BB8=Assumptions!$C$90,Assumptions!$C$89,0)</f>
        <v>0.0</v>
      </c>
      <c r="BC61" s="34">
        <f>IF(BC8=1,Assumptions!$C$87,0)+IF(BC8=Assumptions!$C$90,Assumptions!$C$89,0)</f>
        <v>0.0</v>
      </c>
    </row>
    <row r="62">
      <c r="A62" s="4" t="inlineStr">
        <is>
          <t>Opening cash</t>
        </is>
      </c>
      <c r="B62" s="2" t="inlineStr">
        <is>
          <t>₹ lakh</t>
        </is>
      </c>
      <c r="C62" s="34">
        <f>Assumptions!$C$86</f>
        <v>20.0</v>
      </c>
      <c r="D62" s="34">
        <f>C64</f>
        <v>601.3870270000001</v>
      </c>
      <c r="E62" s="34">
        <f>D64</f>
        <v>583.4161192500001</v>
      </c>
      <c r="F62" s="34">
        <f>E64</f>
        <v>562.87280763</v>
      </c>
      <c r="G62" s="34">
        <f>F64</f>
        <v>541.86225182</v>
      </c>
      <c r="H62" s="34">
        <f>G64</f>
        <v>519.8730662199999</v>
      </c>
      <c r="I62" s="34">
        <f>H64</f>
        <v>478.47476002661426</v>
      </c>
      <c r="J62" s="34">
        <f>I64</f>
        <v>454.07244885886087</v>
      </c>
      <c r="K62" s="34">
        <f>J64</f>
        <v>429.7721822962013</v>
      </c>
      <c r="L62" s="34">
        <f>K64</f>
        <v>405.22956484454</v>
      </c>
      <c r="M62" s="34">
        <f>L64</f>
        <v>380.6421135968481</v>
      </c>
      <c r="N62" s="34">
        <f>M64</f>
        <v>356.23514371753663</v>
      </c>
      <c r="O62" s="34">
        <f>N64</f>
        <v>332.26568067488205</v>
      </c>
      <c r="P62" s="34">
        <f>O64</f>
        <v>309.09988307145227</v>
      </c>
      <c r="Q62" s="34">
        <f>P64</f>
        <v>287.0539735623468</v>
      </c>
      <c r="R62" s="34">
        <f>Q64</f>
        <v>266.5475299047881</v>
      </c>
      <c r="S62" s="34">
        <f>R64</f>
        <v>248.00627147117666</v>
      </c>
      <c r="T62" s="34">
        <f>S64</f>
        <v>231.92668178914596</v>
      </c>
      <c r="U62" s="34">
        <f>T64</f>
        <v>197.53890729999625</v>
      </c>
      <c r="V62" s="34">
        <f>U64</f>
        <v>194.31241764030446</v>
      </c>
      <c r="W62" s="34">
        <f>V64</f>
        <v>195.672944081497</v>
      </c>
      <c r="X62" s="34">
        <f>W64</f>
        <v>199.68856597650262</v>
      </c>
      <c r="Y62" s="34">
        <f>X64</f>
        <v>206.64356257197875</v>
      </c>
      <c r="Z62" s="34">
        <f>Y64</f>
        <v>216.84330724203375</v>
      </c>
      <c r="AA62" s="34">
        <f>Z64</f>
        <v>230.6158880311981</v>
      </c>
      <c r="AB62" s="34">
        <f>AA64</f>
        <v>248.31386017248914</v>
      </c>
      <c r="AC62" s="34">
        <f>AB64</f>
        <v>270.31614230489845</v>
      </c>
      <c r="AD62" s="34">
        <f>AC64</f>
        <v>297.030069276472</v>
      </c>
      <c r="AE62" s="34">
        <f>AD64</f>
        <v>328.8936157097001</v>
      </c>
      <c r="AF62" s="34">
        <f>AE64</f>
        <v>366.37780594083614</v>
      </c>
      <c r="AG62" s="34">
        <f>AF64</f>
        <v>384.45503842472203</v>
      </c>
      <c r="AH62" s="34">
        <f>AG64</f>
        <v>447.61323005336817</v>
      </c>
      <c r="AI62" s="34">
        <f>AH64</f>
        <v>518.380357977911</v>
      </c>
      <c r="AJ62" s="34">
        <f>AI64</f>
        <v>596.1541715183415</v>
      </c>
      <c r="AK62" s="34">
        <f>AJ64</f>
        <v>681.400502907959</v>
      </c>
      <c r="AL62" s="34">
        <f>AK64</f>
        <v>774.6122401421386</v>
      </c>
      <c r="AM62" s="34">
        <f>AL64</f>
        <v>876.3109006740967</v>
      </c>
      <c r="AN62" s="34">
        <f>AM64</f>
        <v>982.3442968062623</v>
      </c>
      <c r="AO62" s="34">
        <f>AN64</f>
        <v>1100.9762981315962</v>
      </c>
      <c r="AP62" s="34">
        <f>AO64</f>
        <v>1229.8486966926544</v>
      </c>
      <c r="AQ62" s="34">
        <f>AP64</f>
        <v>1369.6151808580346</v>
      </c>
      <c r="AR62" s="34">
        <f>AQ64</f>
        <v>1200.3637794530596</v>
      </c>
      <c r="AS62" s="34">
        <f>AR64</f>
        <v>1317.404022397547</v>
      </c>
      <c r="AT62" s="34">
        <f>AS64</f>
        <v>1499.5772802626877</v>
      </c>
      <c r="AU62" s="34">
        <f>AT64</f>
        <v>1693.127229548446</v>
      </c>
      <c r="AV62" s="34">
        <f>AU64</f>
        <v>1893.5720373749982</v>
      </c>
      <c r="AW62" s="34">
        <f>AV64</f>
        <v>2101.1273478110265</v>
      </c>
      <c r="AX62" s="34">
        <f>AW64</f>
        <v>2316.0146427899963</v>
      </c>
      <c r="AY62" s="34">
        <f>AX64</f>
        <v>2538.4613454991977</v>
      </c>
      <c r="AZ62" s="34">
        <f>AY64</f>
        <v>2768.700915956614</v>
      </c>
      <c r="BA62" s="34">
        <f>AZ64</f>
        <v>3006.972936908675</v>
      </c>
      <c r="BB62" s="34">
        <f>BA64</f>
        <v>3253.523187889279</v>
      </c>
      <c r="BC62" s="34">
        <f>BB64</f>
        <v>3508.6037049452407</v>
      </c>
    </row>
    <row r="63">
      <c r="A63" s="4" t="inlineStr">
        <is>
          <t>Net cash flow</t>
        </is>
      </c>
      <c r="B63" s="2" t="inlineStr">
        <is>
          <t>₹ lakh</t>
        </is>
      </c>
      <c r="C63" s="34">
        <f>C61+C49-C54-C51-C59</f>
        <v>581.3870270000001</v>
      </c>
      <c r="D63" s="34">
        <f>D61+D49-D54-D51-D59</f>
        <v>-17.970907750000002</v>
      </c>
      <c r="E63" s="34">
        <f>E61+E49-E54-E51-E59</f>
        <v>-20.543311620000004</v>
      </c>
      <c r="F63" s="34">
        <f>F61+F49-F54-F51-F59</f>
        <v>-21.010555809999996</v>
      </c>
      <c r="G63" s="34">
        <f>G61+G49-G54-G51-G59</f>
        <v>-21.9891856</v>
      </c>
      <c r="H63" s="34">
        <f>H61+H49-H54-H51-H59</f>
        <v>-41.39830619338565</v>
      </c>
      <c r="I63" s="34">
        <f>I61+I49-I54-I51-I59</f>
        <v>-24.402311167753382</v>
      </c>
      <c r="J63" s="34">
        <f>J61+J49-J54-J51-J59</f>
        <v>-24.300266562659516</v>
      </c>
      <c r="K63" s="34">
        <f>K61+K49-K54-K51-K59</f>
        <v>-24.542617451661332</v>
      </c>
      <c r="L63" s="34">
        <f>L61+L49-L54-L51-L59</f>
        <v>-24.587451247691906</v>
      </c>
      <c r="M63" s="34">
        <f>M61+M49-M54-M51-M59</f>
        <v>-24.406969879311486</v>
      </c>
      <c r="N63" s="34">
        <f>N61+N49-N54-N51-N59</f>
        <v>-23.969463042654606</v>
      </c>
      <c r="O63" s="34">
        <f>O61+O49-O54-O51-O59</f>
        <v>-23.16579760342979</v>
      </c>
      <c r="P63" s="34">
        <f>P61+P49-P54-P51-P59</f>
        <v>-22.045909509105464</v>
      </c>
      <c r="Q63" s="34">
        <f>Q61+Q49-Q54-Q51-Q59</f>
        <v>-20.506443657558677</v>
      </c>
      <c r="R63" s="34">
        <f>R61+R49-R54-R51-R59</f>
        <v>-18.54125843361147</v>
      </c>
      <c r="S63" s="34">
        <f>S61+S49-S54-S51-S59</f>
        <v>-16.0795896820307</v>
      </c>
      <c r="T63" s="34">
        <f>T61+T49-T54-T51-T59</f>
        <v>-34.387774489149706</v>
      </c>
      <c r="U63" s="34">
        <f>U61+U49-U54-U51-U59</f>
        <v>-3.2264896596917856</v>
      </c>
      <c r="V63" s="34">
        <f>V61+V49-V54-V51-V59</f>
        <v>1.3605264411925404</v>
      </c>
      <c r="W63" s="34">
        <f>W61+W49-W54-W51-W59</f>
        <v>4.015621895005607</v>
      </c>
      <c r="X63" s="34">
        <f>X61+X49-X54-X51-X59</f>
        <v>6.954996595476128</v>
      </c>
      <c r="Y63" s="34">
        <f>Y61+Y49-Y54-Y51-Y59</f>
        <v>10.199744670054999</v>
      </c>
      <c r="Z63" s="34">
        <f>Z61+Z49-Z54-Z51-Z59</f>
        <v>13.772580789164362</v>
      </c>
      <c r="AA63" s="34">
        <f>AA61+AA49-AA54-AA51-AA59</f>
        <v>17.697972141291054</v>
      </c>
      <c r="AB63" s="34">
        <f>AB61+AB49-AB54-AB51-AB59</f>
        <v>22.00228213240932</v>
      </c>
      <c r="AC63" s="34">
        <f>AC61+AC49-AC54-AC51-AC59</f>
        <v>26.713926971573514</v>
      </c>
      <c r="AD63" s="34">
        <f>AD61+AD49-AD54-AD51-AD59</f>
        <v>31.86354643322811</v>
      </c>
      <c r="AE63" s="34">
        <f>AE61+AE49-AE54-AE51-AE59</f>
        <v>37.48419023113602</v>
      </c>
      <c r="AF63" s="34">
        <f>AF61+AF49-AF54-AF51-AF59</f>
        <v>18.077232483885922</v>
      </c>
      <c r="AG63" s="34">
        <f>AG61+AG49-AG54-AG51-AG59</f>
        <v>63.15819162864611</v>
      </c>
      <c r="AH63" s="34">
        <f>AH61+AH49-AH54-AH51-AH59</f>
        <v>70.76712792454279</v>
      </c>
      <c r="AI63" s="34">
        <f>AI61+AI49-AI54-AI51-AI59</f>
        <v>77.77381354043051</v>
      </c>
      <c r="AJ63" s="34">
        <f>AJ61+AJ49-AJ54-AJ51-AJ59</f>
        <v>85.24633138961742</v>
      </c>
      <c r="AK63" s="34">
        <f>AK61+AK49-AK54-AK51-AK59</f>
        <v>93.2117372341796</v>
      </c>
      <c r="AL63" s="34">
        <f>AL61+AL49-AL54-AL51-AL59</f>
        <v>101.69866053195811</v>
      </c>
      <c r="AM63" s="34">
        <f>AM61+AM49-AM54-AM51-AM59</f>
        <v>106.03339613216549</v>
      </c>
      <c r="AN63" s="34">
        <f>AN61+AN49-AN54-AN51-AN59</f>
        <v>118.63200132533393</v>
      </c>
      <c r="AO63" s="34">
        <f>AO61+AO49-AO54-AO51-AO59</f>
        <v>128.87239856105825</v>
      </c>
      <c r="AP63" s="34">
        <f>AP61+AP49-AP54-AP51-AP59</f>
        <v>139.76648416538026</v>
      </c>
      <c r="AQ63" s="34">
        <f>AQ61+AQ49-AQ54-AQ51-AQ59</f>
        <v>-169.25140140497513</v>
      </c>
      <c r="AR63" s="34">
        <f>AR61+AR49-AR54-AR51-AR59</f>
        <v>117.04024294448723</v>
      </c>
      <c r="AS63" s="34">
        <f>AS61+AS49-AS54-AS51-AS59</f>
        <v>182.1732578651408</v>
      </c>
      <c r="AT63" s="34">
        <f>AT61+AT49-AT54-AT51-AT59</f>
        <v>193.5499492857582</v>
      </c>
      <c r="AU63" s="34">
        <f>AU61+AU49-AU54-AU51-AU59</f>
        <v>200.44480782655216</v>
      </c>
      <c r="AV63" s="34">
        <f>AV61+AV49-AV54-AV51-AV59</f>
        <v>207.5553104360283</v>
      </c>
      <c r="AW63" s="34">
        <f>AW61+AW49-AW54-AW51-AW59</f>
        <v>214.88729497896978</v>
      </c>
      <c r="AX63" s="34">
        <f>AX61+AX49-AX54-AX51-AX59</f>
        <v>222.44670270920145</v>
      </c>
      <c r="AY63" s="34">
        <f>AY61+AY49-AY54-AY51-AY59</f>
        <v>230.23957045741648</v>
      </c>
      <c r="AZ63" s="34">
        <f>AZ61+AZ49-AZ54-AZ51-AZ59</f>
        <v>238.27202095206079</v>
      </c>
      <c r="BA63" s="34">
        <f>BA61+BA49-BA54-BA51-BA59</f>
        <v>246.55025098060423</v>
      </c>
      <c r="BB63" s="34">
        <f>BB61+BB49-BB54-BB51-BB59</f>
        <v>255.08051705596176</v>
      </c>
      <c r="BC63" s="34">
        <f>BC61+BC49-BC54-BC51-BC59</f>
        <v>-431.6332166821248</v>
      </c>
    </row>
    <row r="64">
      <c r="A64" s="3" t="inlineStr">
        <is>
          <t>Closing cash</t>
        </is>
      </c>
      <c r="B64" s="2" t="inlineStr">
        <is>
          <t>₹ lakh</t>
        </is>
      </c>
      <c r="C64" s="35">
        <f>C62+C63</f>
        <v>601.3870270000001</v>
      </c>
      <c r="D64" s="35">
        <f>D62+D63</f>
        <v>583.4161192500001</v>
      </c>
      <c r="E64" s="35">
        <f>E62+E63</f>
        <v>562.87280763</v>
      </c>
      <c r="F64" s="35">
        <f>F62+F63</f>
        <v>541.86225182</v>
      </c>
      <c r="G64" s="35">
        <f>G62+G63</f>
        <v>519.8730662199999</v>
      </c>
      <c r="H64" s="35">
        <f>H62+H63</f>
        <v>478.47476002661426</v>
      </c>
      <c r="I64" s="35">
        <f>I62+I63</f>
        <v>454.07244885886087</v>
      </c>
      <c r="J64" s="35">
        <f>J62+J63</f>
        <v>429.7721822962013</v>
      </c>
      <c r="K64" s="35">
        <f>K62+K63</f>
        <v>405.22956484454</v>
      </c>
      <c r="L64" s="35">
        <f>L62+L63</f>
        <v>380.6421135968481</v>
      </c>
      <c r="M64" s="35">
        <f>M62+M63</f>
        <v>356.23514371753663</v>
      </c>
      <c r="N64" s="35">
        <f>N62+N63</f>
        <v>332.26568067488205</v>
      </c>
      <c r="O64" s="35">
        <f>O62+O63</f>
        <v>309.09988307145227</v>
      </c>
      <c r="P64" s="35">
        <f>P62+P63</f>
        <v>287.0539735623468</v>
      </c>
      <c r="Q64" s="35">
        <f>Q62+Q63</f>
        <v>266.5475299047881</v>
      </c>
      <c r="R64" s="35">
        <f>R62+R63</f>
        <v>248.00627147117666</v>
      </c>
      <c r="S64" s="35">
        <f>S62+S63</f>
        <v>231.92668178914596</v>
      </c>
      <c r="T64" s="35">
        <f>T62+T63</f>
        <v>197.53890729999625</v>
      </c>
      <c r="U64" s="35">
        <f>U62+U63</f>
        <v>194.31241764030446</v>
      </c>
      <c r="V64" s="35">
        <f>V62+V63</f>
        <v>195.672944081497</v>
      </c>
      <c r="W64" s="35">
        <f>W62+W63</f>
        <v>199.68856597650262</v>
      </c>
      <c r="X64" s="35">
        <f>X62+X63</f>
        <v>206.64356257197875</v>
      </c>
      <c r="Y64" s="35">
        <f>Y62+Y63</f>
        <v>216.84330724203375</v>
      </c>
      <c r="Z64" s="35">
        <f>Z62+Z63</f>
        <v>230.6158880311981</v>
      </c>
      <c r="AA64" s="35">
        <f>AA62+AA63</f>
        <v>248.31386017248914</v>
      </c>
      <c r="AB64" s="35">
        <f>AB62+AB63</f>
        <v>270.31614230489845</v>
      </c>
      <c r="AC64" s="35">
        <f>AC62+AC63</f>
        <v>297.030069276472</v>
      </c>
      <c r="AD64" s="35">
        <f>AD62+AD63</f>
        <v>328.8936157097001</v>
      </c>
      <c r="AE64" s="35">
        <f>AE62+AE63</f>
        <v>366.37780594083614</v>
      </c>
      <c r="AF64" s="35">
        <f>AF62+AF63</f>
        <v>384.45503842472203</v>
      </c>
      <c r="AG64" s="35">
        <f>AG62+AG63</f>
        <v>447.61323005336817</v>
      </c>
      <c r="AH64" s="35">
        <f>AH62+AH63</f>
        <v>518.380357977911</v>
      </c>
      <c r="AI64" s="35">
        <f>AI62+AI63</f>
        <v>596.1541715183415</v>
      </c>
      <c r="AJ64" s="35">
        <f>AJ62+AJ63</f>
        <v>681.400502907959</v>
      </c>
      <c r="AK64" s="35">
        <f>AK62+AK63</f>
        <v>774.6122401421386</v>
      </c>
      <c r="AL64" s="35">
        <f>AL62+AL63</f>
        <v>876.3109006740967</v>
      </c>
      <c r="AM64" s="35">
        <f>AM62+AM63</f>
        <v>982.3442968062623</v>
      </c>
      <c r="AN64" s="35">
        <f>AN62+AN63</f>
        <v>1100.9762981315962</v>
      </c>
      <c r="AO64" s="35">
        <f>AO62+AO63</f>
        <v>1229.8486966926544</v>
      </c>
      <c r="AP64" s="35">
        <f>AP62+AP63</f>
        <v>1369.6151808580346</v>
      </c>
      <c r="AQ64" s="35">
        <f>AQ62+AQ63</f>
        <v>1200.3637794530596</v>
      </c>
      <c r="AR64" s="35">
        <f>AR62+AR63</f>
        <v>1317.404022397547</v>
      </c>
      <c r="AS64" s="35">
        <f>AS62+AS63</f>
        <v>1499.5772802626877</v>
      </c>
      <c r="AT64" s="35">
        <f>AT62+AT63</f>
        <v>1693.127229548446</v>
      </c>
      <c r="AU64" s="35">
        <f>AU62+AU63</f>
        <v>1893.5720373749982</v>
      </c>
      <c r="AV64" s="35">
        <f>AV62+AV63</f>
        <v>2101.1273478110265</v>
      </c>
      <c r="AW64" s="35">
        <f>AW62+AW63</f>
        <v>2316.0146427899963</v>
      </c>
      <c r="AX64" s="35">
        <f>AX62+AX63</f>
        <v>2538.4613454991977</v>
      </c>
      <c r="AY64" s="35">
        <f>AY62+AY63</f>
        <v>2768.700915956614</v>
      </c>
      <c r="AZ64" s="35">
        <f>AZ62+AZ63</f>
        <v>3006.972936908675</v>
      </c>
      <c r="BA64" s="35">
        <f>BA62+BA63</f>
        <v>3253.523187889279</v>
      </c>
      <c r="BB64" s="35">
        <f>BB62+BB63</f>
        <v>3508.6037049452407</v>
      </c>
      <c r="BC64" s="35">
        <f>BC62+BC63</f>
        <v>3076.970488263116</v>
      </c>
    </row>
    <row r="65">
      <c r="A65" s="4" t="inlineStr">
        <is>
          <t>Operating burn (before tax; + = burning)</t>
        </is>
      </c>
      <c r="B65" s="2" t="inlineStr">
        <is>
          <t>₹ lakh</t>
        </is>
      </c>
      <c r="C65" s="34">
        <f>-(C49-C51-C59)</f>
        <v>18.612972999999997</v>
      </c>
      <c r="D65" s="34">
        <f>-(D49-D51-D59)</f>
        <v>17.970907750000002</v>
      </c>
      <c r="E65" s="34">
        <f>-(E49-E51-E59)</f>
        <v>20.543311620000004</v>
      </c>
      <c r="F65" s="34">
        <f>-(F49-F51-F59)</f>
        <v>21.010555809999996</v>
      </c>
      <c r="G65" s="34">
        <f>-(G49-G51-G59)</f>
        <v>21.9891856</v>
      </c>
      <c r="H65" s="34">
        <f>-(H49-H51-H59)</f>
        <v>41.39830619338565</v>
      </c>
      <c r="I65" s="34">
        <f>-(I49-I51-I59)</f>
        <v>24.402311167753382</v>
      </c>
      <c r="J65" s="34">
        <f>-(J49-J51-J59)</f>
        <v>24.300266562659516</v>
      </c>
      <c r="K65" s="34">
        <f>-(K49-K51-K59)</f>
        <v>24.542617451661332</v>
      </c>
      <c r="L65" s="34">
        <f>-(L49-L51-L59)</f>
        <v>24.587451247691906</v>
      </c>
      <c r="M65" s="34">
        <f>-(M49-M51-M59)</f>
        <v>24.406969879311486</v>
      </c>
      <c r="N65" s="34">
        <f>-(N49-N51-N59)</f>
        <v>23.969463042654606</v>
      </c>
      <c r="O65" s="34">
        <f>-(O49-O51-O59)</f>
        <v>23.16579760342979</v>
      </c>
      <c r="P65" s="34">
        <f>-(P49-P51-P59)</f>
        <v>22.045909509105464</v>
      </c>
      <c r="Q65" s="34">
        <f>-(Q49-Q51-Q59)</f>
        <v>20.506443657558677</v>
      </c>
      <c r="R65" s="34">
        <f>-(R49-R51-R59)</f>
        <v>18.54125843361147</v>
      </c>
      <c r="S65" s="34">
        <f>-(S49-S51-S59)</f>
        <v>16.0795896820307</v>
      </c>
      <c r="T65" s="34">
        <f>-(T49-T51-T59)</f>
        <v>34.387774489149706</v>
      </c>
      <c r="U65" s="34">
        <f>-(U49-U51-U59)</f>
        <v>3.2264896596917856</v>
      </c>
      <c r="V65" s="34">
        <f>-(V49-V51-V59)</f>
        <v>-1.3605264411925404</v>
      </c>
      <c r="W65" s="34">
        <f>-(W49-W51-W59)</f>
        <v>-4.015621895005607</v>
      </c>
      <c r="X65" s="34">
        <f>-(X49-X51-X59)</f>
        <v>-6.954996595476128</v>
      </c>
      <c r="Y65" s="34">
        <f>-(Y49-Y51-Y59)</f>
        <v>-10.199744670054999</v>
      </c>
      <c r="Z65" s="34">
        <f>-(Z49-Z51-Z59)</f>
        <v>-13.772580789164362</v>
      </c>
      <c r="AA65" s="34">
        <f>-(AA49-AA51-AA59)</f>
        <v>-17.697972141291054</v>
      </c>
      <c r="AB65" s="34">
        <f>-(AB49-AB51-AB59)</f>
        <v>-22.00228213240932</v>
      </c>
      <c r="AC65" s="34">
        <f>-(AC49-AC51-AC59)</f>
        <v>-26.713926971573514</v>
      </c>
      <c r="AD65" s="34">
        <f>-(AD49-AD51-AD59)</f>
        <v>-31.86354643322811</v>
      </c>
      <c r="AE65" s="34">
        <f>-(AE49-AE51-AE59)</f>
        <v>-37.48419023113602</v>
      </c>
      <c r="AF65" s="34">
        <f>-(AF49-AF51-AF59)</f>
        <v>-18.077232483885922</v>
      </c>
      <c r="AG65" s="34">
        <f>-(AG49-AG51-AG59)</f>
        <v>-63.15819162864611</v>
      </c>
      <c r="AH65" s="34">
        <f>-(AH49-AH51-AH59)</f>
        <v>-70.76712792454279</v>
      </c>
      <c r="AI65" s="34">
        <f>-(AI49-AI51-AI59)</f>
        <v>-77.77381354043051</v>
      </c>
      <c r="AJ65" s="34">
        <f>-(AJ49-AJ51-AJ59)</f>
        <v>-85.24633138961742</v>
      </c>
      <c r="AK65" s="34">
        <f>-(AK49-AK51-AK59)</f>
        <v>-93.2117372341796</v>
      </c>
      <c r="AL65" s="34">
        <f>-(AL49-AL51-AL59)</f>
        <v>-101.69866053195811</v>
      </c>
      <c r="AM65" s="34">
        <f>-(AM49-AM51-AM59)</f>
        <v>-106.03339613216549</v>
      </c>
      <c r="AN65" s="34">
        <f>-(AN49-AN51-AN59)</f>
        <v>-118.63200132533393</v>
      </c>
      <c r="AO65" s="34">
        <f>-(AO49-AO51-AO59)</f>
        <v>-128.87239856105825</v>
      </c>
      <c r="AP65" s="34">
        <f>-(AP49-AP51-AP59)</f>
        <v>-139.76648416538026</v>
      </c>
      <c r="AQ65" s="34">
        <f>-(AQ49-AQ51-AQ59)</f>
        <v>-151.35224340921167</v>
      </c>
      <c r="AR65" s="34">
        <f>-(AR49-AR51-AR59)</f>
        <v>-117.04024294448723</v>
      </c>
      <c r="AS65" s="34">
        <f>-(AS49-AS51-AS59)</f>
        <v>-182.1732578651408</v>
      </c>
      <c r="AT65" s="34">
        <f>-(AT49-AT51-AT59)</f>
        <v>-193.5499492857582</v>
      </c>
      <c r="AU65" s="34">
        <f>-(AU49-AU51-AU59)</f>
        <v>-200.44480782655216</v>
      </c>
      <c r="AV65" s="34">
        <f>-(AV49-AV51-AV59)</f>
        <v>-207.5553104360283</v>
      </c>
      <c r="AW65" s="34">
        <f>-(AW49-AW51-AW59)</f>
        <v>-214.88729497896978</v>
      </c>
      <c r="AX65" s="34">
        <f>-(AX49-AX51-AX59)</f>
        <v>-222.44670270920145</v>
      </c>
      <c r="AY65" s="34">
        <f>-(AY49-AY51-AY59)</f>
        <v>-230.23957045741648</v>
      </c>
      <c r="AZ65" s="34">
        <f>-(AZ49-AZ51-AZ59)</f>
        <v>-238.27202095206079</v>
      </c>
      <c r="BA65" s="34">
        <f>-(BA49-BA51-BA59)</f>
        <v>-246.55025098060423</v>
      </c>
      <c r="BB65" s="34">
        <f>-(BB49-BB51-BB59)</f>
        <v>-255.08051705596176</v>
      </c>
      <c r="BC65" s="34">
        <f>-(BC49-BC51-BC59)</f>
        <v>-263.86911820424604</v>
      </c>
    </row>
    <row r="66">
      <c r="A66" s="4" t="inlineStr">
        <is>
          <t>Helper: last month with EBITDA ≤ 0</t>
        </is>
      </c>
      <c r="B66" s="2" t="inlineStr">
        <is>
          <t>month number</t>
        </is>
      </c>
      <c r="C66" s="31">
        <f>IF(C49&lt;=0,C8,0)</f>
        <v>1.0</v>
      </c>
      <c r="D66" s="31">
        <f>IF(D49&lt;=0,D8,C66)</f>
        <v>2.0</v>
      </c>
      <c r="E66" s="31">
        <f>IF(E49&lt;=0,E8,D66)</f>
        <v>3.0</v>
      </c>
      <c r="F66" s="31">
        <f>IF(F49&lt;=0,F8,E66)</f>
        <v>4.0</v>
      </c>
      <c r="G66" s="31">
        <f>IF(G49&lt;=0,G8,F66)</f>
        <v>5.0</v>
      </c>
      <c r="H66" s="31">
        <f>IF(H49&lt;=0,H8,G66)</f>
        <v>6.0</v>
      </c>
      <c r="I66" s="31">
        <f>IF(I49&lt;=0,I8,H66)</f>
        <v>7.0</v>
      </c>
      <c r="J66" s="31">
        <f>IF(J49&lt;=0,J8,I66)</f>
        <v>8.0</v>
      </c>
      <c r="K66" s="31">
        <f>IF(K49&lt;=0,K8,J66)</f>
        <v>9.0</v>
      </c>
      <c r="L66" s="31">
        <f>IF(L49&lt;=0,L8,K66)</f>
        <v>10.0</v>
      </c>
      <c r="M66" s="31">
        <f>IF(M49&lt;=0,M8,L66)</f>
        <v>11.0</v>
      </c>
      <c r="N66" s="31">
        <f>IF(N49&lt;=0,N8,M66)</f>
        <v>12.0</v>
      </c>
      <c r="O66" s="31">
        <f>IF(O49&lt;=0,O8,N66)</f>
        <v>13.0</v>
      </c>
      <c r="P66" s="31">
        <f>IF(P49&lt;=0,P8,O66)</f>
        <v>14.0</v>
      </c>
      <c r="Q66" s="31">
        <f>IF(Q49&lt;=0,Q8,P66)</f>
        <v>15.0</v>
      </c>
      <c r="R66" s="31">
        <f>IF(R49&lt;=0,R8,Q66)</f>
        <v>16.0</v>
      </c>
      <c r="S66" s="31">
        <f>IF(S49&lt;=0,S8,R66)</f>
        <v>17.0</v>
      </c>
      <c r="T66" s="31">
        <f>IF(T49&lt;=0,T8,S66)</f>
        <v>17.0</v>
      </c>
      <c r="U66" s="31">
        <f>IF(U49&lt;=0,U8,T66)</f>
        <v>17.0</v>
      </c>
      <c r="V66" s="31">
        <f>IF(V49&lt;=0,V8,U66)</f>
        <v>17.0</v>
      </c>
      <c r="W66" s="31">
        <f>IF(W49&lt;=0,W8,V66)</f>
        <v>17.0</v>
      </c>
      <c r="X66" s="31">
        <f>IF(X49&lt;=0,X8,W66)</f>
        <v>17.0</v>
      </c>
      <c r="Y66" s="31">
        <f>IF(Y49&lt;=0,Y8,X66)</f>
        <v>17.0</v>
      </c>
      <c r="Z66" s="31">
        <f>IF(Z49&lt;=0,Z8,Y66)</f>
        <v>17.0</v>
      </c>
      <c r="AA66" s="31">
        <f>IF(AA49&lt;=0,AA8,Z66)</f>
        <v>17.0</v>
      </c>
      <c r="AB66" s="31">
        <f>IF(AB49&lt;=0,AB8,AA66)</f>
        <v>17.0</v>
      </c>
      <c r="AC66" s="31">
        <f>IF(AC49&lt;=0,AC8,AB66)</f>
        <v>17.0</v>
      </c>
      <c r="AD66" s="31">
        <f>IF(AD49&lt;=0,AD8,AC66)</f>
        <v>17.0</v>
      </c>
      <c r="AE66" s="31">
        <f>IF(AE49&lt;=0,AE8,AD66)</f>
        <v>17.0</v>
      </c>
      <c r="AF66" s="31">
        <f>IF(AF49&lt;=0,AF8,AE66)</f>
        <v>17.0</v>
      </c>
      <c r="AG66" s="31">
        <f>IF(AG49&lt;=0,AG8,AF66)</f>
        <v>17.0</v>
      </c>
      <c r="AH66" s="31">
        <f>IF(AH49&lt;=0,AH8,AG66)</f>
        <v>17.0</v>
      </c>
      <c r="AI66" s="31">
        <f>IF(AI49&lt;=0,AI8,AH66)</f>
        <v>17.0</v>
      </c>
      <c r="AJ66" s="31">
        <f>IF(AJ49&lt;=0,AJ8,AI66)</f>
        <v>17.0</v>
      </c>
      <c r="AK66" s="31">
        <f>IF(AK49&lt;=0,AK8,AJ66)</f>
        <v>17.0</v>
      </c>
      <c r="AL66" s="31">
        <f>IF(AL49&lt;=0,AL8,AK66)</f>
        <v>17.0</v>
      </c>
      <c r="AM66" s="31">
        <f>IF(AM49&lt;=0,AM8,AL66)</f>
        <v>17.0</v>
      </c>
      <c r="AN66" s="31">
        <f>IF(AN49&lt;=0,AN8,AM66)</f>
        <v>17.0</v>
      </c>
      <c r="AO66" s="31">
        <f>IF(AO49&lt;=0,AO8,AN66)</f>
        <v>17.0</v>
      </c>
      <c r="AP66" s="31">
        <f>IF(AP49&lt;=0,AP8,AO66)</f>
        <v>17.0</v>
      </c>
      <c r="AQ66" s="31">
        <f>IF(AQ49&lt;=0,AQ8,AP66)</f>
        <v>17.0</v>
      </c>
      <c r="AR66" s="31">
        <f>IF(AR49&lt;=0,AR8,AQ66)</f>
        <v>17.0</v>
      </c>
      <c r="AS66" s="31">
        <f>IF(AS49&lt;=0,AS8,AR66)</f>
        <v>17.0</v>
      </c>
      <c r="AT66" s="31">
        <f>IF(AT49&lt;=0,AT8,AS66)</f>
        <v>17.0</v>
      </c>
      <c r="AU66" s="31">
        <f>IF(AU49&lt;=0,AU8,AT66)</f>
        <v>17.0</v>
      </c>
      <c r="AV66" s="31">
        <f>IF(AV49&lt;=0,AV8,AU66)</f>
        <v>17.0</v>
      </c>
      <c r="AW66" s="31">
        <f>IF(AW49&lt;=0,AW8,AV66)</f>
        <v>17.0</v>
      </c>
      <c r="AX66" s="31">
        <f>IF(AX49&lt;=0,AX8,AW66)</f>
        <v>17.0</v>
      </c>
      <c r="AY66" s="31">
        <f>IF(AY49&lt;=0,AY8,AX66)</f>
        <v>17.0</v>
      </c>
      <c r="AZ66" s="31">
        <f>IF(AZ49&lt;=0,AZ8,AY66)</f>
        <v>17.0</v>
      </c>
      <c r="BA66" s="31">
        <f>IF(BA49&lt;=0,BA8,AZ66)</f>
        <v>17.0</v>
      </c>
      <c r="BB66" s="31">
        <f>IF(BB49&lt;=0,BB8,BA66)</f>
        <v>17.0</v>
      </c>
      <c r="BC66" s="31">
        <f>IF(BC49&lt;=0,BC8,BB66)</f>
        <v>17.0</v>
      </c>
    </row>
    <row r="67">
      <c r="A67" s="4" t="inlineStr">
        <is>
          <t>Helper: first month with cash below zero</t>
        </is>
      </c>
      <c r="B67" s="2" t="inlineStr">
        <is>
          <t>month number</t>
        </is>
      </c>
      <c r="C67" s="31">
        <f>IF(C64&lt;0,C8,0)</f>
        <v>0.0</v>
      </c>
      <c r="D67" s="31">
        <f>IF(C67&gt;0,C67,IF(D64&lt;0,D8,0))</f>
        <v>0.0</v>
      </c>
      <c r="E67" s="31">
        <f>IF(D67&gt;0,D67,IF(E64&lt;0,E8,0))</f>
        <v>0.0</v>
      </c>
      <c r="F67" s="31">
        <f>IF(E67&gt;0,E67,IF(F64&lt;0,F8,0))</f>
        <v>0.0</v>
      </c>
      <c r="G67" s="31">
        <f>IF(F67&gt;0,F67,IF(G64&lt;0,G8,0))</f>
        <v>0.0</v>
      </c>
      <c r="H67" s="31">
        <f>IF(G67&gt;0,G67,IF(H64&lt;0,H8,0))</f>
        <v>0.0</v>
      </c>
      <c r="I67" s="31">
        <f>IF(H67&gt;0,H67,IF(I64&lt;0,I8,0))</f>
        <v>0.0</v>
      </c>
      <c r="J67" s="31">
        <f>IF(I67&gt;0,I67,IF(J64&lt;0,J8,0))</f>
        <v>0.0</v>
      </c>
      <c r="K67" s="31">
        <f>IF(J67&gt;0,J67,IF(K64&lt;0,K8,0))</f>
        <v>0.0</v>
      </c>
      <c r="L67" s="31">
        <f>IF(K67&gt;0,K67,IF(L64&lt;0,L8,0))</f>
        <v>0.0</v>
      </c>
      <c r="M67" s="31">
        <f>IF(L67&gt;0,L67,IF(M64&lt;0,M8,0))</f>
        <v>0.0</v>
      </c>
      <c r="N67" s="31">
        <f>IF(M67&gt;0,M67,IF(N64&lt;0,N8,0))</f>
        <v>0.0</v>
      </c>
      <c r="O67" s="31">
        <f>IF(N67&gt;0,N67,IF(O64&lt;0,O8,0))</f>
        <v>0.0</v>
      </c>
      <c r="P67" s="31">
        <f>IF(O67&gt;0,O67,IF(P64&lt;0,P8,0))</f>
        <v>0.0</v>
      </c>
      <c r="Q67" s="31">
        <f>IF(P67&gt;0,P67,IF(Q64&lt;0,Q8,0))</f>
        <v>0.0</v>
      </c>
      <c r="R67" s="31">
        <f>IF(Q67&gt;0,Q67,IF(R64&lt;0,R8,0))</f>
        <v>0.0</v>
      </c>
      <c r="S67" s="31">
        <f>IF(R67&gt;0,R67,IF(S64&lt;0,S8,0))</f>
        <v>0.0</v>
      </c>
      <c r="T67" s="31">
        <f>IF(S67&gt;0,S67,IF(T64&lt;0,T8,0))</f>
        <v>0.0</v>
      </c>
      <c r="U67" s="31">
        <f>IF(T67&gt;0,T67,IF(U64&lt;0,U8,0))</f>
        <v>0.0</v>
      </c>
      <c r="V67" s="31">
        <f>IF(U67&gt;0,U67,IF(V64&lt;0,V8,0))</f>
        <v>0.0</v>
      </c>
      <c r="W67" s="31">
        <f>IF(V67&gt;0,V67,IF(W64&lt;0,W8,0))</f>
        <v>0.0</v>
      </c>
      <c r="X67" s="31">
        <f>IF(W67&gt;0,W67,IF(X64&lt;0,X8,0))</f>
        <v>0.0</v>
      </c>
      <c r="Y67" s="31">
        <f>IF(X67&gt;0,X67,IF(Y64&lt;0,Y8,0))</f>
        <v>0.0</v>
      </c>
      <c r="Z67" s="31">
        <f>IF(Y67&gt;0,Y67,IF(Z64&lt;0,Z8,0))</f>
        <v>0.0</v>
      </c>
      <c r="AA67" s="31">
        <f>IF(Z67&gt;0,Z67,IF(AA64&lt;0,AA8,0))</f>
        <v>0.0</v>
      </c>
      <c r="AB67" s="31">
        <f>IF(AA67&gt;0,AA67,IF(AB64&lt;0,AB8,0))</f>
        <v>0.0</v>
      </c>
      <c r="AC67" s="31">
        <f>IF(AB67&gt;0,AB67,IF(AC64&lt;0,AC8,0))</f>
        <v>0.0</v>
      </c>
      <c r="AD67" s="31">
        <f>IF(AC67&gt;0,AC67,IF(AD64&lt;0,AD8,0))</f>
        <v>0.0</v>
      </c>
      <c r="AE67" s="31">
        <f>IF(AD67&gt;0,AD67,IF(AE64&lt;0,AE8,0))</f>
        <v>0.0</v>
      </c>
      <c r="AF67" s="31">
        <f>IF(AE67&gt;0,AE67,IF(AF64&lt;0,AF8,0))</f>
        <v>0.0</v>
      </c>
      <c r="AG67" s="31">
        <f>IF(AF67&gt;0,AF67,IF(AG64&lt;0,AG8,0))</f>
        <v>0.0</v>
      </c>
      <c r="AH67" s="31">
        <f>IF(AG67&gt;0,AG67,IF(AH64&lt;0,AH8,0))</f>
        <v>0.0</v>
      </c>
      <c r="AI67" s="31">
        <f>IF(AH67&gt;0,AH67,IF(AI64&lt;0,AI8,0))</f>
        <v>0.0</v>
      </c>
      <c r="AJ67" s="31">
        <f>IF(AI67&gt;0,AI67,IF(AJ64&lt;0,AJ8,0))</f>
        <v>0.0</v>
      </c>
      <c r="AK67" s="31">
        <f>IF(AJ67&gt;0,AJ67,IF(AK64&lt;0,AK8,0))</f>
        <v>0.0</v>
      </c>
      <c r="AL67" s="31">
        <f>IF(AK67&gt;0,AK67,IF(AL64&lt;0,AL8,0))</f>
        <v>0.0</v>
      </c>
      <c r="AM67" s="31">
        <f>IF(AL67&gt;0,AL67,IF(AM64&lt;0,AM8,0))</f>
        <v>0.0</v>
      </c>
      <c r="AN67" s="31">
        <f>IF(AM67&gt;0,AM67,IF(AN64&lt;0,AN8,0))</f>
        <v>0.0</v>
      </c>
      <c r="AO67" s="31">
        <f>IF(AN67&gt;0,AN67,IF(AO64&lt;0,AO8,0))</f>
        <v>0.0</v>
      </c>
      <c r="AP67" s="31">
        <f>IF(AO67&gt;0,AO67,IF(AP64&lt;0,AP8,0))</f>
        <v>0.0</v>
      </c>
      <c r="AQ67" s="31">
        <f>IF(AP67&gt;0,AP67,IF(AQ64&lt;0,AQ8,0))</f>
        <v>0.0</v>
      </c>
      <c r="AR67" s="31">
        <f>IF(AQ67&gt;0,AQ67,IF(AR64&lt;0,AR8,0))</f>
        <v>0.0</v>
      </c>
      <c r="AS67" s="31">
        <f>IF(AR67&gt;0,AR67,IF(AS64&lt;0,AS8,0))</f>
        <v>0.0</v>
      </c>
      <c r="AT67" s="31">
        <f>IF(AS67&gt;0,AS67,IF(AT64&lt;0,AT8,0))</f>
        <v>0.0</v>
      </c>
      <c r="AU67" s="31">
        <f>IF(AT67&gt;0,AT67,IF(AU64&lt;0,AU8,0))</f>
        <v>0.0</v>
      </c>
      <c r="AV67" s="31">
        <f>IF(AU67&gt;0,AU67,IF(AV64&lt;0,AV8,0))</f>
        <v>0.0</v>
      </c>
      <c r="AW67" s="31">
        <f>IF(AV67&gt;0,AV67,IF(AW64&lt;0,AW8,0))</f>
        <v>0.0</v>
      </c>
      <c r="AX67" s="31">
        <f>IF(AW67&gt;0,AW67,IF(AX64&lt;0,AX8,0))</f>
        <v>0.0</v>
      </c>
      <c r="AY67" s="31">
        <f>IF(AX67&gt;0,AX67,IF(AY64&lt;0,AY8,0))</f>
        <v>0.0</v>
      </c>
      <c r="AZ67" s="31">
        <f>IF(AY67&gt;0,AY67,IF(AZ64&lt;0,AZ8,0))</f>
        <v>0.0</v>
      </c>
      <c r="BA67" s="31">
        <f>IF(AZ67&gt;0,AZ67,IF(BA64&lt;0,BA8,0))</f>
        <v>0.0</v>
      </c>
      <c r="BB67" s="31">
        <f>IF(BA67&gt;0,BA67,IF(BB64&lt;0,BB8,0))</f>
        <v>0.0</v>
      </c>
      <c r="BC67" s="31">
        <f>IF(BB67&gt;0,BB67,IF(BC64&lt;0,BC8,0))</f>
        <v>0.0</v>
      </c>
    </row>
    <row r="70">
      <c r="A70" s="11" t="inlineStr">
        <is>
          <t>Annual totals (₹ lakh)</t>
        </is>
      </c>
      <c r="B70" s="11" t="inlineStr">
        <is>
          <t>Unit / note</t>
        </is>
      </c>
      <c r="C70" s="12" t="inlineStr">
        <is>
          <t>FY27*</t>
        </is>
      </c>
      <c r="D70" s="12" t="inlineStr">
        <is>
          <t>FY28</t>
        </is>
      </c>
      <c r="E70" s="12" t="inlineStr">
        <is>
          <t>FY29</t>
        </is>
      </c>
      <c r="F70" s="12" t="inlineStr">
        <is>
          <t>FY30</t>
        </is>
      </c>
      <c r="G70" s="12" t="inlineStr">
        <is>
          <t>FY31</t>
        </is>
      </c>
    </row>
    <row r="71">
      <c r="A71" s="4" t="inlineStr">
        <is>
          <t>Roof Reports</t>
        </is>
      </c>
      <c r="C71" s="32">
        <f>SUM(C10:G10)</f>
        <v>40000.0</v>
      </c>
      <c r="D71" s="32">
        <f>SUM(H10:S10)</f>
        <v>400000.0000000004</v>
      </c>
      <c r="E71" s="32">
        <f>SUM(T10:AE10)</f>
        <v>1200000.0</v>
      </c>
      <c r="F71" s="32">
        <f>SUM(AF10:AQ10)</f>
        <v>2499999.9999999977</v>
      </c>
      <c r="G71" s="32">
        <f>SUM(AR10:BC10)</f>
        <v>3999999.9999999967</v>
      </c>
    </row>
    <row r="72">
      <c r="A72" s="4" t="inlineStr">
        <is>
          <t>Verified leads</t>
        </is>
      </c>
      <c r="C72" s="32">
        <f>SUM(C11:G11)</f>
        <v>3200.0</v>
      </c>
      <c r="D72" s="32">
        <f>SUM(H11:S11)</f>
        <v>32000.00000000003</v>
      </c>
      <c r="E72" s="32">
        <f>SUM(T11:AE11)</f>
        <v>96000.0</v>
      </c>
      <c r="F72" s="32">
        <f>SUM(AF11:AQ11)</f>
        <v>199999.9999999998</v>
      </c>
      <c r="G72" s="32">
        <f>SUM(AR11:BC11)</f>
        <v>319999.99999999965</v>
      </c>
    </row>
    <row r="73">
      <c r="A73" s="4" t="inlineStr">
        <is>
          <t>Installed homes</t>
        </is>
      </c>
      <c r="C73" s="32">
        <f>SUM(C12:G12)</f>
        <v>268.8</v>
      </c>
      <c r="D73" s="32">
        <f>SUM(H12:S12)</f>
        <v>4905.093241229742</v>
      </c>
      <c r="E73" s="32">
        <f>SUM(T12:AE12)</f>
        <v>16673.52266909019</v>
      </c>
      <c r="F73" s="32">
        <f>SUM(AF12:AQ12)</f>
        <v>35727.039958069996</v>
      </c>
      <c r="G73" s="32">
        <f>SUM(AR12:BC12)</f>
        <v>60506.657446399426</v>
      </c>
    </row>
    <row r="74">
      <c r="A74" s="4" t="inlineStr">
        <is>
          <t>Lead fees</t>
        </is>
      </c>
      <c r="C74" s="34">
        <f>SUM(C15:G15)</f>
        <v>45.6</v>
      </c>
      <c r="D74" s="34">
        <f>SUM(H15:S15)</f>
        <v>456.0000000000005</v>
      </c>
      <c r="E74" s="34">
        <f>SUM(T15:AE15)</f>
        <v>1367.9999999999998</v>
      </c>
      <c r="F74" s="34">
        <f>SUM(AF15:AQ15)</f>
        <v>2849.9999999999973</v>
      </c>
      <c r="G74" s="34">
        <f>SUM(AR15:BC15)</f>
        <v>4559.999999999995</v>
      </c>
    </row>
    <row r="75">
      <c r="A75" s="4" t="inlineStr">
        <is>
          <t>Success fees</t>
        </is>
      </c>
      <c r="C75" s="34">
        <f>SUM(C16:G16)</f>
        <v>8.481177599999999</v>
      </c>
      <c r="D75" s="34">
        <f>SUM(H16:S16)</f>
        <v>152.0971312240518</v>
      </c>
      <c r="E75" s="34">
        <f>SUM(T16:AE16)</f>
        <v>507.94219459116357</v>
      </c>
      <c r="F75" s="34">
        <f>SUM(AF16:AQ16)</f>
        <v>1068.9530355454544</v>
      </c>
      <c r="G75" s="34">
        <f>SUM(AR16:BC16)</f>
        <v>1777.4435691454294</v>
      </c>
    </row>
    <row r="76">
      <c r="A76" s="4" t="inlineStr">
        <is>
          <t>Loan origination</t>
        </is>
      </c>
      <c r="C76" s="34">
        <f>SUM(C17:G17)</f>
        <v>1.50528</v>
      </c>
      <c r="D76" s="34">
        <f>SUM(H17:S17)</f>
        <v>27.46852215088655</v>
      </c>
      <c r="E76" s="34">
        <f>SUM(T17:AE17)</f>
        <v>93.37172694690508</v>
      </c>
      <c r="F76" s="34">
        <f>SUM(AF17:AQ17)</f>
        <v>200.07142376519198</v>
      </c>
      <c r="G76" s="34">
        <f>SUM(AR17:BC17)</f>
        <v>338.83728169983675</v>
      </c>
    </row>
    <row r="77">
      <c r="A77" s="4" t="inlineStr">
        <is>
          <t>Installer SaaS</t>
        </is>
      </c>
      <c r="C77" s="34">
        <f>SUM(C19:G19)</f>
        <v>3.7487500000000002</v>
      </c>
      <c r="D77" s="34">
        <f>SUM(H19:S19)</f>
        <v>107.964</v>
      </c>
      <c r="E77" s="34">
        <f>SUM(T19:AE19)</f>
        <v>323.892</v>
      </c>
      <c r="F77" s="34">
        <f>SUM(AF19:AQ19)</f>
        <v>575.808</v>
      </c>
      <c r="G77" s="34">
        <f>SUM(AR19:BC19)</f>
        <v>899.7000000000002</v>
      </c>
    </row>
    <row r="78">
      <c r="A78" s="4" t="inlineStr">
        <is>
          <t>State / DISCOM analytics</t>
        </is>
      </c>
      <c r="C78" s="34">
        <f>SUM(C20:G20)</f>
        <v>0.0</v>
      </c>
      <c r="D78" s="34">
        <f>SUM(H20:S20)</f>
        <v>40.00000000000001</v>
      </c>
      <c r="E78" s="34">
        <f>SUM(T20:AE20)</f>
        <v>120.0</v>
      </c>
      <c r="F78" s="34">
        <f>SUM(AF20:AQ20)</f>
        <v>240.0</v>
      </c>
      <c r="G78" s="34">
        <f>SUM(AR20:BC20)</f>
        <v>399.99999999999994</v>
      </c>
    </row>
    <row r="79">
      <c r="A79" s="3" t="inlineStr">
        <is>
          <t>Total revenue</t>
        </is>
      </c>
      <c r="C79" s="35">
        <f>SUM(C21:G21)</f>
        <v>59.335207600000004</v>
      </c>
      <c r="D79" s="35">
        <f>SUM(H21:S21)</f>
        <v>783.5296533749388</v>
      </c>
      <c r="E79" s="35">
        <f>SUM(T21:AE21)</f>
        <v>2413.205921538069</v>
      </c>
      <c r="F79" s="35">
        <f>SUM(AF21:AQ21)</f>
        <v>4934.832459310644</v>
      </c>
      <c r="G79" s="35">
        <f>SUM(AR21:BC21)</f>
        <v>7975.9808508452625</v>
      </c>
    </row>
    <row r="80">
      <c r="A80" s="4" t="inlineStr">
        <is>
          <t>Customer acquisition</t>
        </is>
      </c>
      <c r="C80" s="34">
        <f>SUM(C23:G23)</f>
        <v>40.0</v>
      </c>
      <c r="D80" s="34">
        <f>SUM(H23:S23)</f>
        <v>340.00000000000034</v>
      </c>
      <c r="E80" s="34">
        <f>SUM(T23:AE23)</f>
        <v>900.0</v>
      </c>
      <c r="F80" s="34">
        <f>SUM(AF23:AQ23)</f>
        <v>1624.9999999999984</v>
      </c>
      <c r="G80" s="34">
        <f>SUM(AR23:BC23)</f>
        <v>2399.9999999999977</v>
      </c>
    </row>
    <row r="81">
      <c r="A81" s="4" t="inlineStr">
        <is>
          <t>AI + infrastructure</t>
        </is>
      </c>
      <c r="C81" s="34">
        <f>SUM(C24:G24)</f>
        <v>1.9445625000000002</v>
      </c>
      <c r="D81" s="34">
        <f>SUM(H24:S24)</f>
        <v>6.9296125000000055</v>
      </c>
      <c r="E81" s="34">
        <f>SUM(T24:AE24)</f>
        <v>20.788837499999996</v>
      </c>
      <c r="F81" s="34">
        <f>SUM(AF24:AQ24)</f>
        <v>43.310078124999954</v>
      </c>
      <c r="G81" s="34">
        <f>SUM(AR24:BC24)</f>
        <v>69.29612499999993</v>
      </c>
    </row>
    <row r="82">
      <c r="A82" s="4" t="inlineStr">
        <is>
          <t>Payments + partner ops</t>
        </is>
      </c>
      <c r="C82" s="34">
        <f>SUM(C25:G25)</f>
        <v>1.7800562280000003</v>
      </c>
      <c r="D82" s="34">
        <f>SUM(H25:S25)</f>
        <v>23.505889601248164</v>
      </c>
      <c r="E82" s="34">
        <f>SUM(T25:AE25)</f>
        <v>72.39617764614205</v>
      </c>
      <c r="F82" s="34">
        <f>SUM(AF25:AQ25)</f>
        <v>148.04497377931932</v>
      </c>
      <c r="G82" s="34">
        <f>SUM(AR25:BC25)</f>
        <v>239.27942552535782</v>
      </c>
    </row>
    <row r="83">
      <c r="A83" s="3" t="inlineStr">
        <is>
          <t>Gross profit</t>
        </is>
      </c>
      <c r="C83" s="35">
        <f>SUM(C26:G26)</f>
        <v>15.610588872000005</v>
      </c>
      <c r="D83" s="35">
        <f>SUM(H26:S26)</f>
        <v>413.0941512736903</v>
      </c>
      <c r="E83" s="35">
        <f>SUM(T26:AE26)</f>
        <v>1420.0209063919265</v>
      </c>
      <c r="F83" s="35">
        <f>SUM(AF26:AQ26)</f>
        <v>3118.477407406326</v>
      </c>
      <c r="G83" s="35">
        <f>SUM(AR26:BC26)</f>
        <v>5267.405300319905</v>
      </c>
    </row>
    <row r="84">
      <c r="A84" s="4" t="inlineStr">
        <is>
          <t>Payroll: Product &amp; engineering (incl. design, ML/PV)</t>
        </is>
      </c>
      <c r="C84" s="34">
        <f>SUM(C38:G38)</f>
        <v>48.125</v>
      </c>
      <c r="D84" s="34">
        <f>SUM(H38:S38)</f>
        <v>302.148</v>
      </c>
      <c r="E84" s="34">
        <f>SUM(T38:AE38)</f>
        <v>494.01198</v>
      </c>
      <c r="F84" s="34">
        <f>SUM(AF38:AQ38)</f>
        <v>717.9640776000003</v>
      </c>
      <c r="G84" s="34">
        <f>SUM(AR38:BC38)</f>
        <v>978.2260557300004</v>
      </c>
    </row>
    <row r="85">
      <c r="A85" s="4" t="inlineStr">
        <is>
          <t>Payroll: Growth &amp; content</t>
        </is>
      </c>
      <c r="C85" s="34">
        <f>SUM(C39:G39)</f>
        <v>10.5</v>
      </c>
      <c r="D85" s="34">
        <f>SUM(H39:S39)</f>
        <v>54.936000000000014</v>
      </c>
      <c r="E85" s="34">
        <f>SUM(T39:AE39)</f>
        <v>104.79042000000003</v>
      </c>
      <c r="F85" s="34">
        <f>SUM(AF39:AQ39)</f>
        <v>146.8562886</v>
      </c>
      <c r="G85" s="34">
        <f>SUM(AR39:BC39)</f>
        <v>195.6452111460001</v>
      </c>
    </row>
    <row r="86">
      <c r="A86" s="4" t="inlineStr">
        <is>
          <t>Payroll: Installer network &amp; partnerships</t>
        </is>
      </c>
      <c r="C86" s="34">
        <f>SUM(C40:G40)</f>
        <v>7.875</v>
      </c>
      <c r="D86" s="34">
        <f>SUM(H40:S40)</f>
        <v>51.50250000000001</v>
      </c>
      <c r="E86" s="34">
        <f>SUM(T40:AE40)</f>
        <v>101.04790500000001</v>
      </c>
      <c r="F86" s="34">
        <f>SUM(AF40:AQ40)</f>
        <v>146.85628860000003</v>
      </c>
      <c r="G86" s="34">
        <f>SUM(AR40:BC40)</f>
        <v>200.0916932175001</v>
      </c>
    </row>
    <row r="87">
      <c r="A87" s="4" t="inlineStr">
        <is>
          <t>Payroll: Customer &amp; installer support</t>
        </is>
      </c>
      <c r="C87" s="34">
        <f>SUM(C41:G41)</f>
        <v>1.96875</v>
      </c>
      <c r="D87" s="34">
        <f>SUM(H41:S41)</f>
        <v>15.450750000000003</v>
      </c>
      <c r="E87" s="34">
        <f>SUM(T41:AE41)</f>
        <v>33.682635000000005</v>
      </c>
      <c r="F87" s="34">
        <f>SUM(AF41:AQ41)</f>
        <v>55.07110822500002</v>
      </c>
      <c r="G87" s="34">
        <f>SUM(AR41:BC41)</f>
        <v>80.03667728700005</v>
      </c>
    </row>
    <row r="88">
      <c r="A88" s="4" t="inlineStr">
        <is>
          <t>Payroll: State / DISCOM sales</t>
        </is>
      </c>
      <c r="C88" s="34">
        <f>SUM(C42:G42)</f>
        <v>0.0</v>
      </c>
      <c r="D88" s="34">
        <f>SUM(H42:S42)</f>
        <v>27.468000000000004</v>
      </c>
      <c r="E88" s="34">
        <f>SUM(T42:AE42)</f>
        <v>59.88024000000001</v>
      </c>
      <c r="F88" s="34">
        <f>SUM(AF42:AQ42)</f>
        <v>97.90419240000001</v>
      </c>
      <c r="G88" s="34">
        <f>SUM(AR42:BC42)</f>
        <v>142.28742628800003</v>
      </c>
    </row>
    <row r="89">
      <c r="A89" s="4" t="inlineStr">
        <is>
          <t>Payroll: G&amp;A (founder-CEO, finance, HR, legal)</t>
        </is>
      </c>
      <c r="C89" s="34">
        <f>SUM(C43:G43)</f>
        <v>6.5625</v>
      </c>
      <c r="D89" s="34">
        <f>SUM(H43:S43)</f>
        <v>34.335</v>
      </c>
      <c r="E89" s="34">
        <f>SUM(T43:AE43)</f>
        <v>74.85030000000002</v>
      </c>
      <c r="F89" s="34">
        <f>SUM(AF43:AQ43)</f>
        <v>122.38024050000003</v>
      </c>
      <c r="G89" s="34">
        <f>SUM(AR43:BC43)</f>
        <v>177.85928286000006</v>
      </c>
    </row>
    <row r="90">
      <c r="A90" s="4" t="inlineStr">
        <is>
          <t>Payroll: lead-verification callers</t>
        </is>
      </c>
      <c r="C90" s="34">
        <f>SUM(C44:G44)</f>
        <v>1.4000000000000004</v>
      </c>
      <c r="D90" s="34">
        <f>SUM(H44:S44)</f>
        <v>15.26000000000002</v>
      </c>
      <c r="E90" s="34">
        <f>SUM(T44:AE44)</f>
        <v>49.900200000000005</v>
      </c>
      <c r="F90" s="34">
        <f>SUM(AF44:AQ44)</f>
        <v>113.31503749999993</v>
      </c>
      <c r="G90" s="34">
        <f>SUM(AR44:BC44)</f>
        <v>197.62142539999988</v>
      </c>
    </row>
    <row r="91">
      <c r="A91" s="4" t="inlineStr">
        <is>
          <t>Total payroll</t>
        </is>
      </c>
      <c r="C91" s="34">
        <f>SUM(C45:G45)</f>
        <v>76.43124999999999</v>
      </c>
      <c r="D91" s="34">
        <f>SUM(H45:S45)</f>
        <v>501.1002500000001</v>
      </c>
      <c r="E91" s="34">
        <f>SUM(T45:AE45)</f>
        <v>918.1636800000002</v>
      </c>
      <c r="F91" s="34">
        <f>SUM(AF45:AQ45)</f>
        <v>1400.3472334250002</v>
      </c>
      <c r="G91" s="34">
        <f>SUM(AR45:BC45)</f>
        <v>1971.7677719285002</v>
      </c>
    </row>
    <row r="92">
      <c r="A92" s="4" t="inlineStr">
        <is>
          <t>G&amp;A</t>
        </is>
      </c>
      <c r="C92" s="34">
        <f>SUM(C46:G46)</f>
        <v>11.4646875</v>
      </c>
      <c r="D92" s="34">
        <f>SUM(H46:S46)</f>
        <v>75.16503750000001</v>
      </c>
      <c r="E92" s="34">
        <f>SUM(T46:AE46)</f>
        <v>137.72455200000005</v>
      </c>
      <c r="F92" s="34">
        <f>SUM(AF46:AQ46)</f>
        <v>210.05208501375</v>
      </c>
      <c r="G92" s="34">
        <f>SUM(AR46:BC46)</f>
        <v>295.7651657892751</v>
      </c>
    </row>
    <row r="93">
      <c r="A93" s="4" t="inlineStr">
        <is>
          <t>Office, tools, compliance</t>
        </is>
      </c>
      <c r="C93" s="34">
        <f>SUM(C47:G47)</f>
        <v>10.0</v>
      </c>
      <c r="D93" s="34">
        <f>SUM(H47:S47)</f>
        <v>49.99999999999999</v>
      </c>
      <c r="E93" s="34">
        <f>SUM(T47:AE47)</f>
        <v>99.99999999999999</v>
      </c>
      <c r="F93" s="34">
        <f>SUM(AF47:AQ47)</f>
        <v>150.0</v>
      </c>
      <c r="G93" s="34">
        <f>SUM(AR47:BC47)</f>
        <v>199.99999999999997</v>
      </c>
    </row>
    <row r="94">
      <c r="A94" s="3" t="inlineStr">
        <is>
          <t>Operating expenses</t>
        </is>
      </c>
      <c r="C94" s="35">
        <f>SUM(C48:G48)</f>
        <v>97.89593749999999</v>
      </c>
      <c r="D94" s="35">
        <f>SUM(H48:S48)</f>
        <v>626.2652875</v>
      </c>
      <c r="E94" s="35">
        <f>SUM(T48:AE48)</f>
        <v>1155.888232</v>
      </c>
      <c r="F94" s="35">
        <f>SUM(AF48:AQ48)</f>
        <v>1760.39931843875</v>
      </c>
      <c r="G94" s="35">
        <f>SUM(AR48:BC48)</f>
        <v>2467.5329377177754</v>
      </c>
    </row>
    <row r="95">
      <c r="A95" s="3" t="inlineStr">
        <is>
          <t>EBITDA</t>
        </is>
      </c>
      <c r="C95" s="35">
        <f>SUM(C49:G49)</f>
        <v>-82.285348628</v>
      </c>
      <c r="D95" s="35">
        <f>SUM(H49:S49)</f>
        <v>-213.17113622630976</v>
      </c>
      <c r="E95" s="35">
        <f>SUM(T49:AE49)</f>
        <v>264.13267439192646</v>
      </c>
      <c r="F95" s="35">
        <f>SUM(AF49:AQ49)</f>
        <v>1358.0780889675755</v>
      </c>
      <c r="G95" s="35">
        <f>SUM(AR49:BC49)</f>
        <v>2799.87236260213</v>
      </c>
    </row>
    <row r="96">
      <c r="A96" s="4" t="inlineStr">
        <is>
          <t>Depreciation</t>
        </is>
      </c>
      <c r="C96" s="34">
        <f>SUM(C52:G52)</f>
        <v>1.1333333333333333</v>
      </c>
      <c r="D96" s="34">
        <f>SUM(H52:S52)</f>
        <v>8.533333333333333</v>
      </c>
      <c r="E96" s="34">
        <f>SUM(T52:AE52)</f>
        <v>16.9</v>
      </c>
      <c r="F96" s="34">
        <f>SUM(AF52:AQ52)</f>
        <v>26.33333333333332</v>
      </c>
      <c r="G96" s="34">
        <f>SUM(AR52:BC52)</f>
        <v>36.43333333333332</v>
      </c>
    </row>
    <row r="97">
      <c r="A97" s="3" t="inlineStr">
        <is>
          <t>Profit before tax</t>
        </is>
      </c>
      <c r="C97" s="35">
        <f>SUM(C53:G53)</f>
        <v>-83.41868196133333</v>
      </c>
      <c r="D97" s="35">
        <f>SUM(H53:S53)</f>
        <v>-221.70446955964314</v>
      </c>
      <c r="E97" s="35">
        <f>SUM(T53:AE53)</f>
        <v>247.23267439192642</v>
      </c>
      <c r="F97" s="35">
        <f>SUM(AF53:AQ53)</f>
        <v>1331.7447556342422</v>
      </c>
      <c r="G97" s="35">
        <f>SUM(AR53:BC53)</f>
        <v>2763.4390292687967</v>
      </c>
    </row>
    <row r="98">
      <c r="A98" s="4" t="inlineStr">
        <is>
          <t>Tax losses brought forward</t>
        </is>
      </c>
      <c r="C98" s="34" t="n">
        <v>0</v>
      </c>
      <c r="D98" s="34">
        <f>C99</f>
        <v>83.41868196133333</v>
      </c>
      <c r="E98" s="34">
        <f>D99</f>
        <v>305.1231515209765</v>
      </c>
      <c r="F98" s="34">
        <f>E99</f>
        <v>57.890477129050055</v>
      </c>
      <c r="G98" s="34">
        <f>F99</f>
        <v>0.0</v>
      </c>
    </row>
    <row r="99">
      <c r="A99" s="4" t="inlineStr">
        <is>
          <t>Tax losses carried forward (s.112: up to 8 years)</t>
        </is>
      </c>
      <c r="C99" s="34">
        <f>MAX(0,C98-C97)</f>
        <v>83.41868196133333</v>
      </c>
      <c r="D99" s="34">
        <f>MAX(0,D98-D97)</f>
        <v>305.1231515209765</v>
      </c>
      <c r="E99" s="34">
        <f>MAX(0,E98-E97)</f>
        <v>57.890477129050055</v>
      </c>
      <c r="F99" s="34">
        <f>MAX(0,F98-F97)</f>
        <v>0.0</v>
      </c>
      <c r="G99" s="34">
        <f>MAX(0,G98-G97)</f>
        <v>0.0</v>
      </c>
    </row>
    <row r="100">
      <c r="A100" s="4" t="inlineStr">
        <is>
          <t>Taxable profit</t>
        </is>
      </c>
      <c r="C100" s="34">
        <f>MAX(0,C97-C98)</f>
        <v>0.0</v>
      </c>
      <c r="D100" s="34">
        <f>MAX(0,D97-D98)</f>
        <v>0.0</v>
      </c>
      <c r="E100" s="34">
        <f>MAX(0,E97-E98)</f>
        <v>0.0</v>
      </c>
      <c r="F100" s="34">
        <f>MAX(0,F97-F98)</f>
        <v>1273.8542785051923</v>
      </c>
      <c r="G100" s="34">
        <f>MAX(0,G97-G98)</f>
        <v>2763.4390292687967</v>
      </c>
    </row>
    <row r="101">
      <c r="A101" s="4" t="inlineStr">
        <is>
          <t>Tax</t>
        </is>
      </c>
      <c r="C101" s="34">
        <f>C100*Assumptions!$C$77</f>
        <v>0.0</v>
      </c>
      <c r="D101" s="34">
        <f>D100*Assumptions!$C$77</f>
        <v>0.0</v>
      </c>
      <c r="E101" s="34">
        <f>E100*Assumptions!$C$77</f>
        <v>0.0</v>
      </c>
      <c r="F101" s="34">
        <f>F100*Assumptions!$C$77</f>
        <v>320.6036448141868</v>
      </c>
      <c r="G101" s="34">
        <f>G100*Assumptions!$C$77</f>
        <v>695.5023348863708</v>
      </c>
    </row>
    <row r="102">
      <c r="A102" s="3" t="inlineStr">
        <is>
          <t>Profit after tax</t>
        </is>
      </c>
      <c r="C102" s="35">
        <f>C97-C101</f>
        <v>-83.41868196133333</v>
      </c>
      <c r="D102" s="35">
        <f>D97-D101</f>
        <v>-221.70446955964314</v>
      </c>
      <c r="E102" s="35">
        <f>E97-E101</f>
        <v>247.23267439192642</v>
      </c>
      <c r="F102" s="35">
        <f>F97-F101</f>
        <v>1011.1411108200555</v>
      </c>
      <c r="G102" s="35">
        <f>G97-G101</f>
        <v>2067.936694382426</v>
      </c>
    </row>
    <row r="103">
      <c r="A103" s="4" t="inlineStr">
        <is>
          <t>Capex</t>
        </is>
      </c>
      <c r="C103" s="34">
        <f>SUM(C51:G51)</f>
        <v>11.616000000000001</v>
      </c>
      <c r="D103" s="34">
        <f>SUM(H51:S51)</f>
        <v>24.041960168952823</v>
      </c>
      <c r="E103" s="34">
        <f>SUM(T51:AE51)</f>
        <v>27.91857868076313</v>
      </c>
      <c r="F103" s="34">
        <f>SUM(AF51:AQ51)</f>
        <v>42.45910431768844</v>
      </c>
      <c r="G103" s="34">
        <f>SUM(AR51:BC51)</f>
        <v>52.147050203203776</v>
      </c>
    </row>
    <row r="104">
      <c r="A104" s="4" t="inlineStr">
        <is>
          <t>Increase in working capital</t>
        </is>
      </c>
      <c r="C104" s="34">
        <f>SUM(C59:G59)</f>
        <v>6.225585151999999</v>
      </c>
      <c r="D104" s="34">
        <f>SUM(H59:S59)</f>
        <v>50.73328803559137</v>
      </c>
      <c r="E104" s="34">
        <f>SUM(T59:AE59)</f>
        <v>101.76297155947313</v>
      </c>
      <c r="F104" s="34">
        <f>SUM(AF59:AQ59)</f>
        <v>161.02936632347706</v>
      </c>
      <c r="G104" s="34">
        <f>SUM(AR59:BC59)</f>
        <v>175.61626870249927</v>
      </c>
    </row>
    <row r="105">
      <c r="A105" s="4" t="inlineStr">
        <is>
          <t>Equity raised</t>
        </is>
      </c>
      <c r="C105" s="34">
        <f>SUM(C61:G61)</f>
        <v>600.0</v>
      </c>
      <c r="D105" s="34">
        <f>SUM(H61:S61)</f>
        <v>0.0</v>
      </c>
      <c r="E105" s="34">
        <f>SUM(T61:AE61)</f>
        <v>0.0</v>
      </c>
      <c r="F105" s="34">
        <f>SUM(AF61:AQ61)</f>
        <v>0.0</v>
      </c>
      <c r="G105" s="34">
        <f>SUM(AR61:BC61)</f>
        <v>0.0</v>
      </c>
    </row>
    <row r="106">
      <c r="A106" s="3" t="inlineStr">
        <is>
          <t>Closing cash (year end)</t>
        </is>
      </c>
      <c r="C106" s="35">
        <f>G64</f>
        <v>519.8730662199999</v>
      </c>
      <c r="D106" s="35">
        <f>S64</f>
        <v>231.92668178914596</v>
      </c>
      <c r="E106" s="35">
        <f>AE64</f>
        <v>366.37780594083614</v>
      </c>
      <c r="F106" s="35">
        <f>AQ64</f>
        <v>1200.3637794530596</v>
      </c>
      <c r="G106" s="35">
        <f>BC64</f>
        <v>3076.970488263116</v>
      </c>
    </row>
    <row r="107">
      <c r="A107" s="4" t="inlineStr">
        <is>
          <t>Working capital (year end)</t>
        </is>
      </c>
      <c r="C107" s="34">
        <f>G58</f>
        <v>6.225585151999999</v>
      </c>
      <c r="D107" s="34">
        <f>S58</f>
        <v>56.95887318759137</v>
      </c>
      <c r="E107" s="34">
        <f>AE58</f>
        <v>158.7218447470645</v>
      </c>
      <c r="F107" s="34">
        <f>AQ58</f>
        <v>319.75121107054156</v>
      </c>
      <c r="G107" s="34">
        <f>BC58</f>
        <v>495.3674797730408</v>
      </c>
    </row>
    <row r="108">
      <c r="A108" s="4" t="inlineStr">
        <is>
          <t>Average heads</t>
        </is>
      </c>
      <c r="C108" s="34">
        <f>AVERAGE(C36:G36)</f>
        <v>12.066666666666666</v>
      </c>
      <c r="D108" s="34">
        <f>AVERAGE(H36:S36)</f>
        <v>31.444444444444446</v>
      </c>
      <c r="E108" s="34">
        <f>AVERAGE(T36:AE36)</f>
        <v>59.333333333333336</v>
      </c>
      <c r="F108" s="34">
        <f>AVERAGE(AF36:AQ36)</f>
        <v>90.77777777777776</v>
      </c>
      <c r="G108" s="34">
        <f>AVERAGE(AR36:BC36)</f>
        <v>124.44444444444439</v>
      </c>
    </row>
    <row r="109">
      <c r="A109" s="4" t="inlineStr">
        <is>
          <t>Heads at year end</t>
        </is>
      </c>
      <c r="C109" s="34">
        <f>G36</f>
        <v>15.906666666666668</v>
      </c>
      <c r="D109" s="34">
        <f>S36</f>
        <v>42.61995574328091</v>
      </c>
      <c r="E109" s="34">
        <f>AE36</f>
        <v>73.64059872190661</v>
      </c>
      <c r="F109" s="34">
        <f>AQ36</f>
        <v>107.91071463044933</v>
      </c>
      <c r="G109" s="34">
        <f>BC36</f>
        <v>139.13859244628372</v>
      </c>
    </row>
    <row r="110">
      <c r="A110" s="4" t="inlineStr">
        <is>
          <t>EBITDA margin</t>
        </is>
      </c>
      <c r="C110" s="38">
        <f>IF(C79=0,0,C95/C79)</f>
        <v>-1.3867879115333202</v>
      </c>
      <c r="D110" s="38">
        <f>IF(D79=0,0,D95/D79)</f>
        <v>-0.2720651800580953</v>
      </c>
      <c r="E110" s="38">
        <f>IF(E79=0,0,E95/E79)</f>
        <v>0.1094530193360292</v>
      </c>
      <c r="F110" s="38">
        <f>IF(F79=0,0,F95/F79)</f>
        <v>0.27520247144465126</v>
      </c>
      <c r="G110" s="38">
        <f>IF(G79=0,0,G95/G79)</f>
        <v>0.3510379995841403</v>
      </c>
    </row>
    <row r="112">
      <c r="A112" s="13" t="inlineStr">
        <is>
          <t>Funding metrics</t>
        </is>
      </c>
      <c r="B112" s="14" t="n"/>
      <c r="C112" s="14" t="n"/>
    </row>
    <row r="113">
      <c r="A113" t="inlineStr">
        <is>
          <t>Break-even month number (EBITDA &gt; 0 from here on)</t>
        </is>
      </c>
      <c r="C113" s="39">
        <f>BC66+1</f>
        <v>18.0</v>
      </c>
    </row>
    <row r="114">
      <c r="A114" t="inlineStr">
        <is>
          <t>Break-even month</t>
        </is>
      </c>
      <c r="C114" s="40" t="str">
        <f>IF(C113&gt;53,"beyond FY31",INDEX($C$3:$BC$3,1,C113))</f>
        <v>Apr-28</v>
      </c>
    </row>
    <row r="115">
      <c r="A115" t="inlineStr">
        <is>
          <t>Lowest closing cash (₹ lakh)</t>
        </is>
      </c>
      <c r="C115" s="35">
        <f>MIN($C$64:$BC$64)</f>
        <v>194.31241764030446</v>
      </c>
    </row>
    <row r="116">
      <c r="A116" t="inlineStr">
        <is>
          <t>Month of the low point</t>
        </is>
      </c>
      <c r="C116" s="40" t="str">
        <f>INDEX($C$3:$BC$3,1,MATCH(C115,$C$64:$BC$64,0))</f>
        <v>May-28</v>
      </c>
    </row>
    <row r="117">
      <c r="A117" t="inlineStr">
        <is>
          <t>Extra funding needed to stay above zero (₹ lakh)</t>
        </is>
      </c>
      <c r="C117" s="35">
        <f>MAX(0,-C115)</f>
        <v>0.0</v>
      </c>
    </row>
    <row r="118">
      <c r="A118" t="inlineStr">
        <is>
          <t>Peak monthly operating burn (₹ lakh)</t>
        </is>
      </c>
      <c r="C118" s="35">
        <f>MAX($C$65:$BC$65)</f>
        <v>41.39830619338565</v>
      </c>
    </row>
    <row r="119">
      <c r="A119" t="inlineStr">
        <is>
          <t>Month cash would run out without new money</t>
        </is>
      </c>
      <c r="C119" s="40" t="str">
        <f>IF(BC67=0,"never",INDEX($C$3:$BC$3,1,BC67))</f>
        <v>never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119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1" t="inlineStr">
        <is>
          <t>Monthly engine: Downside case</t>
        </is>
      </c>
    </row>
    <row r="2">
      <c r="A2" s="2" t="inlineStr">
        <is>
          <t>30% less traffic, ~25% less revenue per report (7% leads, 17% installs, ₹1,300 fee), CAC +10%, SaaS -40%, fewer states. Management response: non-caller hiring held at 80% of plan from FY28. Months run Nov 2026 to Mar 2031. Annual totals and the tax computation are below the monthly block.</t>
        </is>
      </c>
    </row>
    <row r="3">
      <c r="A3" s="11" t="inlineStr">
        <is>
          <t>₹ lakh unless stated</t>
        </is>
      </c>
      <c r="B3" s="11" t="inlineStr">
        <is>
          <t>Unit / note</t>
        </is>
      </c>
      <c r="C3" s="12" t="inlineStr">
        <is>
          <t>Nov-26</t>
        </is>
      </c>
      <c r="D3" s="12" t="inlineStr">
        <is>
          <t>Dec-26</t>
        </is>
      </c>
      <c r="E3" s="12" t="inlineStr">
        <is>
          <t>Jan-27</t>
        </is>
      </c>
      <c r="F3" s="12" t="inlineStr">
        <is>
          <t>Feb-27</t>
        </is>
      </c>
      <c r="G3" s="12" t="inlineStr">
        <is>
          <t>Mar-27</t>
        </is>
      </c>
      <c r="H3" s="12" t="inlineStr">
        <is>
          <t>Apr-27</t>
        </is>
      </c>
      <c r="I3" s="12" t="inlineStr">
        <is>
          <t>May-27</t>
        </is>
      </c>
      <c r="J3" s="12" t="inlineStr">
        <is>
          <t>Jun-27</t>
        </is>
      </c>
      <c r="K3" s="12" t="inlineStr">
        <is>
          <t>Jul-27</t>
        </is>
      </c>
      <c r="L3" s="12" t="inlineStr">
        <is>
          <t>Aug-27</t>
        </is>
      </c>
      <c r="M3" s="12" t="inlineStr">
        <is>
          <t>Sep-27</t>
        </is>
      </c>
      <c r="N3" s="12" t="inlineStr">
        <is>
          <t>Oct-27</t>
        </is>
      </c>
      <c r="O3" s="12" t="inlineStr">
        <is>
          <t>Nov-27</t>
        </is>
      </c>
      <c r="P3" s="12" t="inlineStr">
        <is>
          <t>Dec-27</t>
        </is>
      </c>
      <c r="Q3" s="12" t="inlineStr">
        <is>
          <t>Jan-28</t>
        </is>
      </c>
      <c r="R3" s="12" t="inlineStr">
        <is>
          <t>Feb-28</t>
        </is>
      </c>
      <c r="S3" s="12" t="inlineStr">
        <is>
          <t>Mar-28</t>
        </is>
      </c>
      <c r="T3" s="12" t="inlineStr">
        <is>
          <t>Apr-28</t>
        </is>
      </c>
      <c r="U3" s="12" t="inlineStr">
        <is>
          <t>May-28</t>
        </is>
      </c>
      <c r="V3" s="12" t="inlineStr">
        <is>
          <t>Jun-28</t>
        </is>
      </c>
      <c r="W3" s="12" t="inlineStr">
        <is>
          <t>Jul-28</t>
        </is>
      </c>
      <c r="X3" s="12" t="inlineStr">
        <is>
          <t>Aug-28</t>
        </is>
      </c>
      <c r="Y3" s="12" t="inlineStr">
        <is>
          <t>Sep-28</t>
        </is>
      </c>
      <c r="Z3" s="12" t="inlineStr">
        <is>
          <t>Oct-28</t>
        </is>
      </c>
      <c r="AA3" s="12" t="inlineStr">
        <is>
          <t>Nov-28</t>
        </is>
      </c>
      <c r="AB3" s="12" t="inlineStr">
        <is>
          <t>Dec-28</t>
        </is>
      </c>
      <c r="AC3" s="12" t="inlineStr">
        <is>
          <t>Jan-29</t>
        </is>
      </c>
      <c r="AD3" s="12" t="inlineStr">
        <is>
          <t>Feb-29</t>
        </is>
      </c>
      <c r="AE3" s="12" t="inlineStr">
        <is>
          <t>Mar-29</t>
        </is>
      </c>
      <c r="AF3" s="12" t="inlineStr">
        <is>
          <t>Apr-29</t>
        </is>
      </c>
      <c r="AG3" s="12" t="inlineStr">
        <is>
          <t>May-29</t>
        </is>
      </c>
      <c r="AH3" s="12" t="inlineStr">
        <is>
          <t>Jun-29</t>
        </is>
      </c>
      <c r="AI3" s="12" t="inlineStr">
        <is>
          <t>Jul-29</t>
        </is>
      </c>
      <c r="AJ3" s="12" t="inlineStr">
        <is>
          <t>Aug-29</t>
        </is>
      </c>
      <c r="AK3" s="12" t="inlineStr">
        <is>
          <t>Sep-29</t>
        </is>
      </c>
      <c r="AL3" s="12" t="inlineStr">
        <is>
          <t>Oct-29</t>
        </is>
      </c>
      <c r="AM3" s="12" t="inlineStr">
        <is>
          <t>Nov-29</t>
        </is>
      </c>
      <c r="AN3" s="12" t="inlineStr">
        <is>
          <t>Dec-29</t>
        </is>
      </c>
      <c r="AO3" s="12" t="inlineStr">
        <is>
          <t>Jan-30</t>
        </is>
      </c>
      <c r="AP3" s="12" t="inlineStr">
        <is>
          <t>Feb-30</t>
        </is>
      </c>
      <c r="AQ3" s="12" t="inlineStr">
        <is>
          <t>Mar-30</t>
        </is>
      </c>
      <c r="AR3" s="12" t="inlineStr">
        <is>
          <t>Apr-30</t>
        </is>
      </c>
      <c r="AS3" s="12" t="inlineStr">
        <is>
          <t>May-30</t>
        </is>
      </c>
      <c r="AT3" s="12" t="inlineStr">
        <is>
          <t>Jun-30</t>
        </is>
      </c>
      <c r="AU3" s="12" t="inlineStr">
        <is>
          <t>Jul-30</t>
        </is>
      </c>
      <c r="AV3" s="12" t="inlineStr">
        <is>
          <t>Aug-30</t>
        </is>
      </c>
      <c r="AW3" s="12" t="inlineStr">
        <is>
          <t>Sep-30</t>
        </is>
      </c>
      <c r="AX3" s="12" t="inlineStr">
        <is>
          <t>Oct-30</t>
        </is>
      </c>
      <c r="AY3" s="12" t="inlineStr">
        <is>
          <t>Nov-30</t>
        </is>
      </c>
      <c r="AZ3" s="12" t="inlineStr">
        <is>
          <t>Dec-30</t>
        </is>
      </c>
      <c r="BA3" s="12" t="inlineStr">
        <is>
          <t>Jan-31</t>
        </is>
      </c>
      <c r="BB3" s="12" t="inlineStr">
        <is>
          <t>Feb-31</t>
        </is>
      </c>
      <c r="BC3" s="12" t="inlineStr">
        <is>
          <t>Mar-31</t>
        </is>
      </c>
    </row>
    <row r="4">
      <c r="A4" s="4" t="inlineStr">
        <is>
          <t>Financial year (1 = FY27*)</t>
        </is>
      </c>
      <c r="B4" s="2" t="inlineStr">
        <is>
          <t>index</t>
        </is>
      </c>
      <c r="C4" s="31" t="n">
        <v>1</v>
      </c>
      <c r="D4" s="31" t="n">
        <v>1</v>
      </c>
      <c r="E4" s="31" t="n">
        <v>1</v>
      </c>
      <c r="F4" s="31" t="n">
        <v>1</v>
      </c>
      <c r="G4" s="31" t="n">
        <v>1</v>
      </c>
      <c r="H4" s="31" t="n">
        <v>2</v>
      </c>
      <c r="I4" s="31" t="n">
        <v>2</v>
      </c>
      <c r="J4" s="31" t="n">
        <v>2</v>
      </c>
      <c r="K4" s="31" t="n">
        <v>2</v>
      </c>
      <c r="L4" s="31" t="n">
        <v>2</v>
      </c>
      <c r="M4" s="31" t="n">
        <v>2</v>
      </c>
      <c r="N4" s="31" t="n">
        <v>2</v>
      </c>
      <c r="O4" s="31" t="n">
        <v>2</v>
      </c>
      <c r="P4" s="31" t="n">
        <v>2</v>
      </c>
      <c r="Q4" s="31" t="n">
        <v>2</v>
      </c>
      <c r="R4" s="31" t="n">
        <v>2</v>
      </c>
      <c r="S4" s="31" t="n">
        <v>2</v>
      </c>
      <c r="T4" s="31" t="n">
        <v>3</v>
      </c>
      <c r="U4" s="31" t="n">
        <v>3</v>
      </c>
      <c r="V4" s="31" t="n">
        <v>3</v>
      </c>
      <c r="W4" s="31" t="n">
        <v>3</v>
      </c>
      <c r="X4" s="31" t="n">
        <v>3</v>
      </c>
      <c r="Y4" s="31" t="n">
        <v>3</v>
      </c>
      <c r="Z4" s="31" t="n">
        <v>3</v>
      </c>
      <c r="AA4" s="31" t="n">
        <v>3</v>
      </c>
      <c r="AB4" s="31" t="n">
        <v>3</v>
      </c>
      <c r="AC4" s="31" t="n">
        <v>3</v>
      </c>
      <c r="AD4" s="31" t="n">
        <v>3</v>
      </c>
      <c r="AE4" s="31" t="n">
        <v>3</v>
      </c>
      <c r="AF4" s="31" t="n">
        <v>4</v>
      </c>
      <c r="AG4" s="31" t="n">
        <v>4</v>
      </c>
      <c r="AH4" s="31" t="n">
        <v>4</v>
      </c>
      <c r="AI4" s="31" t="n">
        <v>4</v>
      </c>
      <c r="AJ4" s="31" t="n">
        <v>4</v>
      </c>
      <c r="AK4" s="31" t="n">
        <v>4</v>
      </c>
      <c r="AL4" s="31" t="n">
        <v>4</v>
      </c>
      <c r="AM4" s="31" t="n">
        <v>4</v>
      </c>
      <c r="AN4" s="31" t="n">
        <v>4</v>
      </c>
      <c r="AO4" s="31" t="n">
        <v>4</v>
      </c>
      <c r="AP4" s="31" t="n">
        <v>4</v>
      </c>
      <c r="AQ4" s="31" t="n">
        <v>4</v>
      </c>
      <c r="AR4" s="31" t="n">
        <v>5</v>
      </c>
      <c r="AS4" s="31" t="n">
        <v>5</v>
      </c>
      <c r="AT4" s="31" t="n">
        <v>5</v>
      </c>
      <c r="AU4" s="31" t="n">
        <v>5</v>
      </c>
      <c r="AV4" s="31" t="n">
        <v>5</v>
      </c>
      <c r="AW4" s="31" t="n">
        <v>5</v>
      </c>
      <c r="AX4" s="31" t="n">
        <v>5</v>
      </c>
      <c r="AY4" s="31" t="n">
        <v>5</v>
      </c>
      <c r="AZ4" s="31" t="n">
        <v>5</v>
      </c>
      <c r="BA4" s="31" t="n">
        <v>5</v>
      </c>
      <c r="BB4" s="31" t="n">
        <v>5</v>
      </c>
      <c r="BC4" s="31" t="n">
        <v>5</v>
      </c>
    </row>
    <row r="5">
      <c r="A5" s="4" t="inlineStr">
        <is>
          <t>Month of financial year</t>
        </is>
      </c>
      <c r="B5" s="2" t="inlineStr">
        <is>
          <t>index</t>
        </is>
      </c>
      <c r="C5" s="31" t="n">
        <v>1</v>
      </c>
      <c r="D5" s="31" t="n">
        <v>2</v>
      </c>
      <c r="E5" s="31" t="n">
        <v>3</v>
      </c>
      <c r="F5" s="31" t="n">
        <v>4</v>
      </c>
      <c r="G5" s="31" t="n">
        <v>5</v>
      </c>
      <c r="H5" s="31" t="n">
        <v>1</v>
      </c>
      <c r="I5" s="31" t="n">
        <v>2</v>
      </c>
      <c r="J5" s="31" t="n">
        <v>3</v>
      </c>
      <c r="K5" s="31" t="n">
        <v>4</v>
      </c>
      <c r="L5" s="31" t="n">
        <v>5</v>
      </c>
      <c r="M5" s="31" t="n">
        <v>6</v>
      </c>
      <c r="N5" s="31" t="n">
        <v>7</v>
      </c>
      <c r="O5" s="31" t="n">
        <v>8</v>
      </c>
      <c r="P5" s="31" t="n">
        <v>9</v>
      </c>
      <c r="Q5" s="31" t="n">
        <v>10</v>
      </c>
      <c r="R5" s="31" t="n">
        <v>11</v>
      </c>
      <c r="S5" s="31" t="n">
        <v>12</v>
      </c>
      <c r="T5" s="31" t="n">
        <v>1</v>
      </c>
      <c r="U5" s="31" t="n">
        <v>2</v>
      </c>
      <c r="V5" s="31" t="n">
        <v>3</v>
      </c>
      <c r="W5" s="31" t="n">
        <v>4</v>
      </c>
      <c r="X5" s="31" t="n">
        <v>5</v>
      </c>
      <c r="Y5" s="31" t="n">
        <v>6</v>
      </c>
      <c r="Z5" s="31" t="n">
        <v>7</v>
      </c>
      <c r="AA5" s="31" t="n">
        <v>8</v>
      </c>
      <c r="AB5" s="31" t="n">
        <v>9</v>
      </c>
      <c r="AC5" s="31" t="n">
        <v>10</v>
      </c>
      <c r="AD5" s="31" t="n">
        <v>11</v>
      </c>
      <c r="AE5" s="31" t="n">
        <v>12</v>
      </c>
      <c r="AF5" s="31" t="n">
        <v>1</v>
      </c>
      <c r="AG5" s="31" t="n">
        <v>2</v>
      </c>
      <c r="AH5" s="31" t="n">
        <v>3</v>
      </c>
      <c r="AI5" s="31" t="n">
        <v>4</v>
      </c>
      <c r="AJ5" s="31" t="n">
        <v>5</v>
      </c>
      <c r="AK5" s="31" t="n">
        <v>6</v>
      </c>
      <c r="AL5" s="31" t="n">
        <v>7</v>
      </c>
      <c r="AM5" s="31" t="n">
        <v>8</v>
      </c>
      <c r="AN5" s="31" t="n">
        <v>9</v>
      </c>
      <c r="AO5" s="31" t="n">
        <v>10</v>
      </c>
      <c r="AP5" s="31" t="n">
        <v>11</v>
      </c>
      <c r="AQ5" s="31" t="n">
        <v>12</v>
      </c>
      <c r="AR5" s="31" t="n">
        <v>1</v>
      </c>
      <c r="AS5" s="31" t="n">
        <v>2</v>
      </c>
      <c r="AT5" s="31" t="n">
        <v>3</v>
      </c>
      <c r="AU5" s="31" t="n">
        <v>4</v>
      </c>
      <c r="AV5" s="31" t="n">
        <v>5</v>
      </c>
      <c r="AW5" s="31" t="n">
        <v>6</v>
      </c>
      <c r="AX5" s="31" t="n">
        <v>7</v>
      </c>
      <c r="AY5" s="31" t="n">
        <v>8</v>
      </c>
      <c r="AZ5" s="31" t="n">
        <v>9</v>
      </c>
      <c r="BA5" s="31" t="n">
        <v>10</v>
      </c>
      <c r="BB5" s="31" t="n">
        <v>11</v>
      </c>
      <c r="BC5" s="31" t="n">
        <v>12</v>
      </c>
    </row>
    <row r="6">
      <c r="A6" s="4" t="inlineStr">
        <is>
          <t>Months in financial year</t>
        </is>
      </c>
      <c r="B6" s="2" t="inlineStr">
        <is>
          <t>count</t>
        </is>
      </c>
      <c r="C6" s="32">
        <f>INDEX(Assumptions!$C$6:$G$6,1,C$4)</f>
        <v>5.0</v>
      </c>
      <c r="D6" s="32">
        <f>INDEX(Assumptions!$C$6:$G$6,1,D$4)</f>
        <v>5.0</v>
      </c>
      <c r="E6" s="32">
        <f>INDEX(Assumptions!$C$6:$G$6,1,E$4)</f>
        <v>5.0</v>
      </c>
      <c r="F6" s="32">
        <f>INDEX(Assumptions!$C$6:$G$6,1,F$4)</f>
        <v>5.0</v>
      </c>
      <c r="G6" s="32">
        <f>INDEX(Assumptions!$C$6:$G$6,1,G$4)</f>
        <v>5.0</v>
      </c>
      <c r="H6" s="32">
        <f>INDEX(Assumptions!$C$6:$G$6,1,H$4)</f>
        <v>12.0</v>
      </c>
      <c r="I6" s="32">
        <f>INDEX(Assumptions!$C$6:$G$6,1,I$4)</f>
        <v>12.0</v>
      </c>
      <c r="J6" s="32">
        <f>INDEX(Assumptions!$C$6:$G$6,1,J$4)</f>
        <v>12.0</v>
      </c>
      <c r="K6" s="32">
        <f>INDEX(Assumptions!$C$6:$G$6,1,K$4)</f>
        <v>12.0</v>
      </c>
      <c r="L6" s="32">
        <f>INDEX(Assumptions!$C$6:$G$6,1,L$4)</f>
        <v>12.0</v>
      </c>
      <c r="M6" s="32">
        <f>INDEX(Assumptions!$C$6:$G$6,1,M$4)</f>
        <v>12.0</v>
      </c>
      <c r="N6" s="32">
        <f>INDEX(Assumptions!$C$6:$G$6,1,N$4)</f>
        <v>12.0</v>
      </c>
      <c r="O6" s="32">
        <f>INDEX(Assumptions!$C$6:$G$6,1,O$4)</f>
        <v>12.0</v>
      </c>
      <c r="P6" s="32">
        <f>INDEX(Assumptions!$C$6:$G$6,1,P$4)</f>
        <v>12.0</v>
      </c>
      <c r="Q6" s="32">
        <f>INDEX(Assumptions!$C$6:$G$6,1,Q$4)</f>
        <v>12.0</v>
      </c>
      <c r="R6" s="32">
        <f>INDEX(Assumptions!$C$6:$G$6,1,R$4)</f>
        <v>12.0</v>
      </c>
      <c r="S6" s="32">
        <f>INDEX(Assumptions!$C$6:$G$6,1,S$4)</f>
        <v>12.0</v>
      </c>
      <c r="T6" s="32">
        <f>INDEX(Assumptions!$C$6:$G$6,1,T$4)</f>
        <v>12.0</v>
      </c>
      <c r="U6" s="32">
        <f>INDEX(Assumptions!$C$6:$G$6,1,U$4)</f>
        <v>12.0</v>
      </c>
      <c r="V6" s="32">
        <f>INDEX(Assumptions!$C$6:$G$6,1,V$4)</f>
        <v>12.0</v>
      </c>
      <c r="W6" s="32">
        <f>INDEX(Assumptions!$C$6:$G$6,1,W$4)</f>
        <v>12.0</v>
      </c>
      <c r="X6" s="32">
        <f>INDEX(Assumptions!$C$6:$G$6,1,X$4)</f>
        <v>12.0</v>
      </c>
      <c r="Y6" s="32">
        <f>INDEX(Assumptions!$C$6:$G$6,1,Y$4)</f>
        <v>12.0</v>
      </c>
      <c r="Z6" s="32">
        <f>INDEX(Assumptions!$C$6:$G$6,1,Z$4)</f>
        <v>12.0</v>
      </c>
      <c r="AA6" s="32">
        <f>INDEX(Assumptions!$C$6:$G$6,1,AA$4)</f>
        <v>12.0</v>
      </c>
      <c r="AB6" s="32">
        <f>INDEX(Assumptions!$C$6:$G$6,1,AB$4)</f>
        <v>12.0</v>
      </c>
      <c r="AC6" s="32">
        <f>INDEX(Assumptions!$C$6:$G$6,1,AC$4)</f>
        <v>12.0</v>
      </c>
      <c r="AD6" s="32">
        <f>INDEX(Assumptions!$C$6:$G$6,1,AD$4)</f>
        <v>12.0</v>
      </c>
      <c r="AE6" s="32">
        <f>INDEX(Assumptions!$C$6:$G$6,1,AE$4)</f>
        <v>12.0</v>
      </c>
      <c r="AF6" s="32">
        <f>INDEX(Assumptions!$C$6:$G$6,1,AF$4)</f>
        <v>12.0</v>
      </c>
      <c r="AG6" s="32">
        <f>INDEX(Assumptions!$C$6:$G$6,1,AG$4)</f>
        <v>12.0</v>
      </c>
      <c r="AH6" s="32">
        <f>INDEX(Assumptions!$C$6:$G$6,1,AH$4)</f>
        <v>12.0</v>
      </c>
      <c r="AI6" s="32">
        <f>INDEX(Assumptions!$C$6:$G$6,1,AI$4)</f>
        <v>12.0</v>
      </c>
      <c r="AJ6" s="32">
        <f>INDEX(Assumptions!$C$6:$G$6,1,AJ$4)</f>
        <v>12.0</v>
      </c>
      <c r="AK6" s="32">
        <f>INDEX(Assumptions!$C$6:$G$6,1,AK$4)</f>
        <v>12.0</v>
      </c>
      <c r="AL6" s="32">
        <f>INDEX(Assumptions!$C$6:$G$6,1,AL$4)</f>
        <v>12.0</v>
      </c>
      <c r="AM6" s="32">
        <f>INDEX(Assumptions!$C$6:$G$6,1,AM$4)</f>
        <v>12.0</v>
      </c>
      <c r="AN6" s="32">
        <f>INDEX(Assumptions!$C$6:$G$6,1,AN$4)</f>
        <v>12.0</v>
      </c>
      <c r="AO6" s="32">
        <f>INDEX(Assumptions!$C$6:$G$6,1,AO$4)</f>
        <v>12.0</v>
      </c>
      <c r="AP6" s="32">
        <f>INDEX(Assumptions!$C$6:$G$6,1,AP$4)</f>
        <v>12.0</v>
      </c>
      <c r="AQ6" s="32">
        <f>INDEX(Assumptions!$C$6:$G$6,1,AQ$4)</f>
        <v>12.0</v>
      </c>
      <c r="AR6" s="32">
        <f>INDEX(Assumptions!$C$6:$G$6,1,AR$4)</f>
        <v>12.0</v>
      </c>
      <c r="AS6" s="32">
        <f>INDEX(Assumptions!$C$6:$G$6,1,AS$4)</f>
        <v>12.0</v>
      </c>
      <c r="AT6" s="32">
        <f>INDEX(Assumptions!$C$6:$G$6,1,AT$4)</f>
        <v>12.0</v>
      </c>
      <c r="AU6" s="32">
        <f>INDEX(Assumptions!$C$6:$G$6,1,AU$4)</f>
        <v>12.0</v>
      </c>
      <c r="AV6" s="32">
        <f>INDEX(Assumptions!$C$6:$G$6,1,AV$4)</f>
        <v>12.0</v>
      </c>
      <c r="AW6" s="32">
        <f>INDEX(Assumptions!$C$6:$G$6,1,AW$4)</f>
        <v>12.0</v>
      </c>
      <c r="AX6" s="32">
        <f>INDEX(Assumptions!$C$6:$G$6,1,AX$4)</f>
        <v>12.0</v>
      </c>
      <c r="AY6" s="32">
        <f>INDEX(Assumptions!$C$6:$G$6,1,AY$4)</f>
        <v>12.0</v>
      </c>
      <c r="AZ6" s="32">
        <f>INDEX(Assumptions!$C$6:$G$6,1,AZ$4)</f>
        <v>12.0</v>
      </c>
      <c r="BA6" s="32">
        <f>INDEX(Assumptions!$C$6:$G$6,1,BA$4)</f>
        <v>12.0</v>
      </c>
      <c r="BB6" s="32">
        <f>INDEX(Assumptions!$C$6:$G$6,1,BB$4)</f>
        <v>12.0</v>
      </c>
      <c r="BC6" s="32">
        <f>INDEX(Assumptions!$C$6:$G$6,1,BC$4)</f>
        <v>12.0</v>
      </c>
    </row>
    <row r="7">
      <c r="A7" s="4" t="inlineStr">
        <is>
          <t>Share of the year's reports</t>
        </is>
      </c>
      <c r="B7" s="2" t="inlineStr">
        <is>
          <t>ramp profile</t>
        </is>
      </c>
      <c r="C7" s="33" t="n">
        <v>0.08</v>
      </c>
      <c r="D7" s="33" t="n">
        <v>0.14</v>
      </c>
      <c r="E7" s="33" t="n">
        <v>0.2</v>
      </c>
      <c r="F7" s="33" t="n">
        <v>0.26</v>
      </c>
      <c r="G7" s="33" t="n">
        <v>0.32</v>
      </c>
      <c r="H7" s="33" t="n">
        <v>0.03650360155005757</v>
      </c>
      <c r="I7" s="33" t="n">
        <v>0.04164102894141774</v>
      </c>
      <c r="J7" s="33" t="n">
        <v>0.04750148526912284</v>
      </c>
      <c r="K7" s="33" t="n">
        <v>0.05418672785312475</v>
      </c>
      <c r="L7" s="33" t="n">
        <v>0.0618128350891211</v>
      </c>
      <c r="M7" s="33" t="n">
        <v>0.07051222196164679</v>
      </c>
      <c r="N7" s="33" t="n">
        <v>0.08043593921553678</v>
      </c>
      <c r="O7" s="33" t="n">
        <v>0.09175629610714404</v>
      </c>
      <c r="P7" s="33" t="n">
        <v>0.104669852275134</v>
      </c>
      <c r="Q7" s="33" t="n">
        <v>0.1194008306798402</v>
      </c>
      <c r="R7" s="33" t="n">
        <v>0.1362050108713369</v>
      </c>
      <c r="S7" s="33" t="n">
        <v>0.1553741701865172</v>
      </c>
      <c r="T7" s="33" t="n">
        <v>0.05548296397380414</v>
      </c>
      <c r="U7" s="33" t="n">
        <v>0.05943766497912224</v>
      </c>
      <c r="V7" s="33" t="n">
        <v>0.06367424818613468</v>
      </c>
      <c r="W7" s="33" t="n">
        <v>0.06821280552480663</v>
      </c>
      <c r="X7" s="33" t="n">
        <v>0.0730748610327259</v>
      </c>
      <c r="Y7" s="33" t="n">
        <v>0.07828347293251636</v>
      </c>
      <c r="Z7" s="33" t="n">
        <v>0.08386334298510013</v>
      </c>
      <c r="AA7" s="33" t="n">
        <v>0.08984093363741461</v>
      </c>
      <c r="AB7" s="33" t="n">
        <v>0.09624459352015535</v>
      </c>
      <c r="AC7" s="33" t="n">
        <v>0.1031046918907164</v>
      </c>
      <c r="AD7" s="33" t="n">
        <v>0.1104537626589209</v>
      </c>
      <c r="AE7" s="33" t="n">
        <v>0.1183266586785827</v>
      </c>
      <c r="AF7" s="33" t="n">
        <v>0.06007448072342646</v>
      </c>
      <c r="AG7" s="33" t="n">
        <v>0.06354131707815498</v>
      </c>
      <c r="AH7" s="33" t="n">
        <v>0.06720822098512422</v>
      </c>
      <c r="AI7" s="33" t="n">
        <v>0.0710867381365342</v>
      </c>
      <c r="AJ7" s="33" t="n">
        <v>0.07518908051457993</v>
      </c>
      <c r="AK7" s="33" t="n">
        <v>0.07952816484236017</v>
      </c>
      <c r="AL7" s="33" t="n">
        <v>0.08411765325374851</v>
      </c>
      <c r="AM7" s="33" t="n">
        <v>0.08897199631028072</v>
      </c>
      <c r="AN7" s="33" t="n">
        <v>0.09410647850050248</v>
      </c>
      <c r="AO7" s="33" t="n">
        <v>0.0995372663650374</v>
      </c>
      <c r="AP7" s="33" t="n">
        <v>0.1052814593989032</v>
      </c>
      <c r="AQ7" s="33" t="n">
        <v>0.1113571438913479</v>
      </c>
      <c r="AR7" s="33" t="n">
        <v>0.07150579438002341</v>
      </c>
      <c r="AS7" s="33" t="n">
        <v>0.07346565763083227</v>
      </c>
      <c r="AT7" s="33" t="n">
        <v>0.07547923770270679</v>
      </c>
      <c r="AU7" s="33" t="n">
        <v>0.07754800689064729</v>
      </c>
      <c r="AV7" s="33" t="n">
        <v>0.0796734778429833</v>
      </c>
      <c r="AW7" s="33" t="n">
        <v>0.081857204667396</v>
      </c>
      <c r="AX7" s="33" t="n">
        <v>0.08410078406725492</v>
      </c>
      <c r="AY7" s="33" t="n">
        <v>0.08640585650909988</v>
      </c>
      <c r="AZ7" s="33" t="n">
        <v>0.08877410742212179</v>
      </c>
      <c r="BA7" s="33" t="n">
        <v>0.09120726843051945</v>
      </c>
      <c r="BB7" s="33" t="n">
        <v>0.09370711861963325</v>
      </c>
      <c r="BC7" s="33" t="n">
        <v>0.09627548583678162</v>
      </c>
    </row>
    <row r="8">
      <c r="A8" s="4" t="inlineStr">
        <is>
          <t>Month number</t>
        </is>
      </c>
      <c r="B8" s="2" t="inlineStr">
        <is>
          <t>1 = Nov-26</t>
        </is>
      </c>
      <c r="C8" s="31" t="n">
        <v>1</v>
      </c>
      <c r="D8" s="31" t="n">
        <v>2</v>
      </c>
      <c r="E8" s="31" t="n">
        <v>3</v>
      </c>
      <c r="F8" s="31" t="n">
        <v>4</v>
      </c>
      <c r="G8" s="31" t="n">
        <v>5</v>
      </c>
      <c r="H8" s="31" t="n">
        <v>6</v>
      </c>
      <c r="I8" s="31" t="n">
        <v>7</v>
      </c>
      <c r="J8" s="31" t="n">
        <v>8</v>
      </c>
      <c r="K8" s="31" t="n">
        <v>9</v>
      </c>
      <c r="L8" s="31" t="n">
        <v>10</v>
      </c>
      <c r="M8" s="31" t="n">
        <v>11</v>
      </c>
      <c r="N8" s="31" t="n">
        <v>12</v>
      </c>
      <c r="O8" s="31" t="n">
        <v>13</v>
      </c>
      <c r="P8" s="31" t="n">
        <v>14</v>
      </c>
      <c r="Q8" s="31" t="n">
        <v>15</v>
      </c>
      <c r="R8" s="31" t="n">
        <v>16</v>
      </c>
      <c r="S8" s="31" t="n">
        <v>17</v>
      </c>
      <c r="T8" s="31" t="n">
        <v>18</v>
      </c>
      <c r="U8" s="31" t="n">
        <v>19</v>
      </c>
      <c r="V8" s="31" t="n">
        <v>20</v>
      </c>
      <c r="W8" s="31" t="n">
        <v>21</v>
      </c>
      <c r="X8" s="31" t="n">
        <v>22</v>
      </c>
      <c r="Y8" s="31" t="n">
        <v>23</v>
      </c>
      <c r="Z8" s="31" t="n">
        <v>24</v>
      </c>
      <c r="AA8" s="31" t="n">
        <v>25</v>
      </c>
      <c r="AB8" s="31" t="n">
        <v>26</v>
      </c>
      <c r="AC8" s="31" t="n">
        <v>27</v>
      </c>
      <c r="AD8" s="31" t="n">
        <v>28</v>
      </c>
      <c r="AE8" s="31" t="n">
        <v>29</v>
      </c>
      <c r="AF8" s="31" t="n">
        <v>30</v>
      </c>
      <c r="AG8" s="31" t="n">
        <v>31</v>
      </c>
      <c r="AH8" s="31" t="n">
        <v>32</v>
      </c>
      <c r="AI8" s="31" t="n">
        <v>33</v>
      </c>
      <c r="AJ8" s="31" t="n">
        <v>34</v>
      </c>
      <c r="AK8" s="31" t="n">
        <v>35</v>
      </c>
      <c r="AL8" s="31" t="n">
        <v>36</v>
      </c>
      <c r="AM8" s="31" t="n">
        <v>37</v>
      </c>
      <c r="AN8" s="31" t="n">
        <v>38</v>
      </c>
      <c r="AO8" s="31" t="n">
        <v>39</v>
      </c>
      <c r="AP8" s="31" t="n">
        <v>40</v>
      </c>
      <c r="AQ8" s="31" t="n">
        <v>41</v>
      </c>
      <c r="AR8" s="31" t="n">
        <v>42</v>
      </c>
      <c r="AS8" s="31" t="n">
        <v>43</v>
      </c>
      <c r="AT8" s="31" t="n">
        <v>44</v>
      </c>
      <c r="AU8" s="31" t="n">
        <v>45</v>
      </c>
      <c r="AV8" s="31" t="n">
        <v>46</v>
      </c>
      <c r="AW8" s="31" t="n">
        <v>47</v>
      </c>
      <c r="AX8" s="31" t="n">
        <v>48</v>
      </c>
      <c r="AY8" s="31" t="n">
        <v>49</v>
      </c>
      <c r="AZ8" s="31" t="n">
        <v>50</v>
      </c>
      <c r="BA8" s="31" t="n">
        <v>51</v>
      </c>
      <c r="BB8" s="31" t="n">
        <v>52</v>
      </c>
      <c r="BC8" s="31" t="n">
        <v>53</v>
      </c>
    </row>
    <row r="9">
      <c r="A9" s="13" t="inlineStr">
        <is>
          <t>Funnel</t>
        </is>
      </c>
      <c r="B9" s="14" t="n"/>
    </row>
    <row r="10">
      <c r="A10" s="4" t="inlineStr">
        <is>
          <t>Roof Reports</t>
        </is>
      </c>
      <c r="B10" s="2" t="inlineStr">
        <is>
          <t>count</t>
        </is>
      </c>
      <c r="C10" s="32">
        <f>INDEX(Assumptions!$C$19:$G$19,1,C$4)*C7</f>
        <v>2240.0</v>
      </c>
      <c r="D10" s="32">
        <f>INDEX(Assumptions!$C$19:$G$19,1,D$4)*D7</f>
        <v>3920.0000000000005</v>
      </c>
      <c r="E10" s="32">
        <f>INDEX(Assumptions!$C$19:$G$19,1,E$4)*E7</f>
        <v>5600.0</v>
      </c>
      <c r="F10" s="32">
        <f>INDEX(Assumptions!$C$19:$G$19,1,F$4)*F7</f>
        <v>7280.0</v>
      </c>
      <c r="G10" s="32">
        <f>INDEX(Assumptions!$C$19:$G$19,1,G$4)*G7</f>
        <v>8960.0</v>
      </c>
      <c r="H10" s="32">
        <f>INDEX(Assumptions!$C$19:$G$19,1,H$4)*H7</f>
        <v>10221.008434016241</v>
      </c>
      <c r="I10" s="32">
        <f>INDEX(Assumptions!$C$19:$G$19,1,I$4)*I7</f>
        <v>11659.488103597041</v>
      </c>
      <c r="J10" s="32">
        <f>INDEX(Assumptions!$C$19:$G$19,1,J$4)*J7</f>
        <v>13300.41587535444</v>
      </c>
      <c r="K10" s="32">
        <f>INDEX(Assumptions!$C$19:$G$19,1,K$4)*K7</f>
        <v>15172.283798875</v>
      </c>
      <c r="L10" s="32">
        <f>INDEX(Assumptions!$C$19:$G$19,1,L$4)*L7</f>
        <v>17307.59382495388</v>
      </c>
      <c r="M10" s="32">
        <f>INDEX(Assumptions!$C$19:$G$19,1,M$4)*M7</f>
        <v>19743.422149261158</v>
      </c>
      <c r="N10" s="32">
        <f>INDEX(Assumptions!$C$19:$G$19,1,N$4)*N7</f>
        <v>22522.06298035036</v>
      </c>
      <c r="O10" s="32">
        <f>INDEX(Assumptions!$C$19:$G$19,1,O$4)*O7</f>
        <v>25691.76291000032</v>
      </c>
      <c r="P10" s="32">
        <f>INDEX(Assumptions!$C$19:$G$19,1,P$4)*P7</f>
        <v>29307.55863703752</v>
      </c>
      <c r="Q10" s="32">
        <f>INDEX(Assumptions!$C$19:$G$19,1,Q$4)*Q7</f>
        <v>33432.2325903552</v>
      </c>
      <c r="R10" s="32">
        <f>INDEX(Assumptions!$C$19:$G$19,1,R$4)*R7</f>
        <v>38137.40304397436</v>
      </c>
      <c r="S10" s="32">
        <f>INDEX(Assumptions!$C$19:$G$19,1,S$4)*S7</f>
        <v>43504.767652224764</v>
      </c>
      <c r="T10" s="32">
        <f>INDEX(Assumptions!$C$19:$G$19,1,T$4)*T7</f>
        <v>46605.68973799536</v>
      </c>
      <c r="U10" s="32">
        <f>INDEX(Assumptions!$C$19:$G$19,1,U$4)*U7</f>
        <v>49927.63858246248</v>
      </c>
      <c r="V10" s="32">
        <f>INDEX(Assumptions!$C$19:$G$19,1,V$4)*V7</f>
        <v>53486.3684763534</v>
      </c>
      <c r="W10" s="32">
        <f>INDEX(Assumptions!$C$19:$G$19,1,W$4)*W7</f>
        <v>57298.756640837884</v>
      </c>
      <c r="X10" s="32">
        <f>INDEX(Assumptions!$C$19:$G$19,1,X$4)*X7</f>
        <v>61382.88326748984</v>
      </c>
      <c r="Y10" s="32">
        <f>INDEX(Assumptions!$C$19:$G$19,1,Y$4)*Y7</f>
        <v>65758.11726331344</v>
      </c>
      <c r="Z10" s="32">
        <f>INDEX(Assumptions!$C$19:$G$19,1,Z$4)*Z7</f>
        <v>70445.208107484</v>
      </c>
      <c r="AA10" s="32">
        <f>INDEX(Assumptions!$C$19:$G$19,1,AA$4)*AA7</f>
        <v>75466.3842554286</v>
      </c>
      <c r="AB10" s="32">
        <f>INDEX(Assumptions!$C$19:$G$19,1,AB$4)*AB7</f>
        <v>80845.4585569302</v>
      </c>
      <c r="AC10" s="32">
        <f>INDEX(Assumptions!$C$19:$G$19,1,AC$4)*AC7</f>
        <v>86607.94118820144</v>
      </c>
      <c r="AD10" s="32">
        <f>INDEX(Assumptions!$C$19:$G$19,1,AD$4)*AD7</f>
        <v>92781.16063349364</v>
      </c>
      <c r="AE10" s="32">
        <f>INDEX(Assumptions!$C$19:$G$19,1,AE$4)*AE7</f>
        <v>99394.39329000971</v>
      </c>
      <c r="AF10" s="32">
        <f>INDEX(Assumptions!$C$19:$G$19,1,AF$4)*AF7</f>
        <v>105130.34126599549</v>
      </c>
      <c r="AG10" s="32">
        <f>INDEX(Assumptions!$C$19:$G$19,1,AG$4)*AG7</f>
        <v>111197.30488677125</v>
      </c>
      <c r="AH10" s="32">
        <f>INDEX(Assumptions!$C$19:$G$19,1,AH$4)*AH7</f>
        <v>117614.38672396699</v>
      </c>
      <c r="AI10" s="32">
        <f>INDEX(Assumptions!$C$19:$G$19,1,AI$4)*AI7</f>
        <v>124401.79173893451</v>
      </c>
      <c r="AJ10" s="32">
        <f>INDEX(Assumptions!$C$19:$G$19,1,AJ$4)*AJ7</f>
        <v>131580.890900515</v>
      </c>
      <c r="AK10" s="32">
        <f>INDEX(Assumptions!$C$19:$G$19,1,AK$4)*AK7</f>
        <v>139174.28847413</v>
      </c>
      <c r="AL10" s="32">
        <f>INDEX(Assumptions!$C$19:$G$19,1,AL$4)*AL7</f>
        <v>147205.89319406074</v>
      </c>
      <c r="AM10" s="32">
        <f>INDEX(Assumptions!$C$19:$G$19,1,AM$4)*AM7</f>
        <v>155700.99354299175</v>
      </c>
      <c r="AN10" s="32">
        <f>INDEX(Assumptions!$C$19:$G$19,1,AN$4)*AN7</f>
        <v>164686.3373758785</v>
      </c>
      <c r="AO10" s="32">
        <f>INDEX(Assumptions!$C$19:$G$19,1,AO$4)*AO7</f>
        <v>174190.21613881475</v>
      </c>
      <c r="AP10" s="32">
        <f>INDEX(Assumptions!$C$19:$G$19,1,AP$4)*AP7</f>
        <v>184242.55394808025</v>
      </c>
      <c r="AQ10" s="32">
        <f>INDEX(Assumptions!$C$19:$G$19,1,AQ$4)*AQ7</f>
        <v>194875.001809859</v>
      </c>
      <c r="AR10" s="32">
        <f>INDEX(Assumptions!$C$19:$G$19,1,AR$4)*AR7</f>
        <v>200216.2242640644</v>
      </c>
      <c r="AS10" s="32">
        <f>INDEX(Assumptions!$C$19:$G$19,1,AS$4)*AS7</f>
        <v>205703.8413663296</v>
      </c>
      <c r="AT10" s="32">
        <f>INDEX(Assumptions!$C$19:$G$19,1,AT$4)*AT7</f>
        <v>211341.86556757957</v>
      </c>
      <c r="AU10" s="32">
        <f>INDEX(Assumptions!$C$19:$G$19,1,AU$4)*AU7</f>
        <v>217134.4192938116</v>
      </c>
      <c r="AV10" s="32">
        <f>INDEX(Assumptions!$C$19:$G$19,1,AV$4)*AV7</f>
        <v>223085.7379603524</v>
      </c>
      <c r="AW10" s="32">
        <f>INDEX(Assumptions!$C$19:$G$19,1,AW$4)*AW7</f>
        <v>229200.1730687088</v>
      </c>
      <c r="AX10" s="32">
        <f>INDEX(Assumptions!$C$19:$G$19,1,AX$4)*AX7</f>
        <v>235482.19538831402</v>
      </c>
      <c r="AY10" s="32">
        <f>INDEX(Assumptions!$C$19:$G$19,1,AY$4)*AY7</f>
        <v>241936.39822548</v>
      </c>
      <c r="AZ10" s="32">
        <f>INDEX(Assumptions!$C$19:$G$19,1,AZ$4)*AZ7</f>
        <v>248567.50078194158</v>
      </c>
      <c r="BA10" s="32">
        <f>INDEX(Assumptions!$C$19:$G$19,1,BA$4)*BA7</f>
        <v>255380.3516054532</v>
      </c>
      <c r="BB10" s="32">
        <f>INDEX(Assumptions!$C$19:$G$19,1,BB$4)*BB7</f>
        <v>262379.9321349724</v>
      </c>
      <c r="BC10" s="32">
        <f>INDEX(Assumptions!$C$19:$G$19,1,BC$4)*BC7</f>
        <v>269571.3603429896</v>
      </c>
    </row>
    <row r="11">
      <c r="A11" s="4" t="inlineStr">
        <is>
          <t>Verified leads</t>
        </is>
      </c>
      <c r="B11" s="2" t="inlineStr">
        <is>
          <t>count</t>
        </is>
      </c>
      <c r="C11" s="32">
        <f>C10*INDEX(Assumptions!$C$20:$G$20,1,C$4)</f>
        <v>156.8</v>
      </c>
      <c r="D11" s="32">
        <f>D10*INDEX(Assumptions!$C$20:$G$20,1,D$4)</f>
        <v>274.40000000000003</v>
      </c>
      <c r="E11" s="32">
        <f>E10*INDEX(Assumptions!$C$20:$G$20,1,E$4)</f>
        <v>392.00000000000006</v>
      </c>
      <c r="F11" s="32">
        <f>F10*INDEX(Assumptions!$C$20:$G$20,1,F$4)</f>
        <v>509.6</v>
      </c>
      <c r="G11" s="32">
        <f>G10*INDEX(Assumptions!$C$20:$G$20,1,G$4)</f>
        <v>627.2</v>
      </c>
      <c r="H11" s="32">
        <f>H10*INDEX(Assumptions!$C$20:$G$20,1,H$4)</f>
        <v>715.470590381137</v>
      </c>
      <c r="I11" s="32">
        <f>I10*INDEX(Assumptions!$C$20:$G$20,1,I$4)</f>
        <v>816.164167251793</v>
      </c>
      <c r="J11" s="32">
        <f>J10*INDEX(Assumptions!$C$20:$G$20,1,J$4)</f>
        <v>931.0291112748108</v>
      </c>
      <c r="K11" s="32">
        <f>K10*INDEX(Assumptions!$C$20:$G$20,1,K$4)</f>
        <v>1062.05986592125</v>
      </c>
      <c r="L11" s="32">
        <f>L10*INDEX(Assumptions!$C$20:$G$20,1,L$4)</f>
        <v>1211.5315677467718</v>
      </c>
      <c r="M11" s="32">
        <f>M10*INDEX(Assumptions!$C$20:$G$20,1,M$4)</f>
        <v>1382.0395504482813</v>
      </c>
      <c r="N11" s="32">
        <f>N10*INDEX(Assumptions!$C$20:$G$20,1,N$4)</f>
        <v>1576.5444086245254</v>
      </c>
      <c r="O11" s="32">
        <f>O10*INDEX(Assumptions!$C$20:$G$20,1,O$4)</f>
        <v>1798.4234037000226</v>
      </c>
      <c r="P11" s="32">
        <f>P10*INDEX(Assumptions!$C$20:$G$20,1,P$4)</f>
        <v>2051.5291045926265</v>
      </c>
      <c r="Q11" s="32">
        <f>Q10*INDEX(Assumptions!$C$20:$G$20,1,Q$4)</f>
        <v>2340.256281324864</v>
      </c>
      <c r="R11" s="32">
        <f>R10*INDEX(Assumptions!$C$20:$G$20,1,R$4)</f>
        <v>2669.6182130782054</v>
      </c>
      <c r="S11" s="32">
        <f>S10*INDEX(Assumptions!$C$20:$G$20,1,S$4)</f>
        <v>3045.3337356557336</v>
      </c>
      <c r="T11" s="32">
        <f>T10*INDEX(Assumptions!$C$20:$G$20,1,T$4)</f>
        <v>3262.3982816596754</v>
      </c>
      <c r="U11" s="32">
        <f>U10*INDEX(Assumptions!$C$20:$G$20,1,U$4)</f>
        <v>3494.934700772374</v>
      </c>
      <c r="V11" s="32">
        <f>V10*INDEX(Assumptions!$C$20:$G$20,1,V$4)</f>
        <v>3744.0457933447383</v>
      </c>
      <c r="W11" s="32">
        <f>W10*INDEX(Assumptions!$C$20:$G$20,1,W$4)</f>
        <v>4010.9129648586522</v>
      </c>
      <c r="X11" s="32">
        <f>X10*INDEX(Assumptions!$C$20:$G$20,1,X$4)</f>
        <v>4296.801828724289</v>
      </c>
      <c r="Y11" s="32">
        <f>Y10*INDEX(Assumptions!$C$20:$G$20,1,Y$4)</f>
        <v>4603.0682084319415</v>
      </c>
      <c r="Z11" s="32">
        <f>Z10*INDEX(Assumptions!$C$20:$G$20,1,Z$4)</f>
        <v>4931.164567523881</v>
      </c>
      <c r="AA11" s="32">
        <f>AA10*INDEX(Assumptions!$C$20:$G$20,1,AA$4)</f>
        <v>5282.646897880002</v>
      </c>
      <c r="AB11" s="32">
        <f>AB10*INDEX(Assumptions!$C$20:$G$20,1,AB$4)</f>
        <v>5659.182098985115</v>
      </c>
      <c r="AC11" s="32">
        <f>AC10*INDEX(Assumptions!$C$20:$G$20,1,AC$4)</f>
        <v>6062.555883174101</v>
      </c>
      <c r="AD11" s="32">
        <f>AD10*INDEX(Assumptions!$C$20:$G$20,1,AD$4)</f>
        <v>6494.681244344555</v>
      </c>
      <c r="AE11" s="32">
        <f>AE10*INDEX(Assumptions!$C$20:$G$20,1,AE$4)</f>
        <v>6957.607530300681</v>
      </c>
      <c r="AF11" s="32">
        <f>AF10*INDEX(Assumptions!$C$20:$G$20,1,AF$4)</f>
        <v>7359.123888619685</v>
      </c>
      <c r="AG11" s="32">
        <f>AG10*INDEX(Assumptions!$C$20:$G$20,1,AG$4)</f>
        <v>7783.811342073988</v>
      </c>
      <c r="AH11" s="32">
        <f>AH10*INDEX(Assumptions!$C$20:$G$20,1,AH$4)</f>
        <v>8233.00707067769</v>
      </c>
      <c r="AI11" s="32">
        <f>AI10*INDEX(Assumptions!$C$20:$G$20,1,AI$4)</f>
        <v>8708.125421725417</v>
      </c>
      <c r="AJ11" s="32">
        <f>AJ10*INDEX(Assumptions!$C$20:$G$20,1,AJ$4)</f>
        <v>9210.66236303605</v>
      </c>
      <c r="AK11" s="32">
        <f>AK10*INDEX(Assumptions!$C$20:$G$20,1,AK$4)</f>
        <v>9742.2001931891</v>
      </c>
      <c r="AL11" s="32">
        <f>AL10*INDEX(Assumptions!$C$20:$G$20,1,AL$4)</f>
        <v>10304.412523584253</v>
      </c>
      <c r="AM11" s="32">
        <f>AM10*INDEX(Assumptions!$C$20:$G$20,1,AM$4)</f>
        <v>10899.069548009424</v>
      </c>
      <c r="AN11" s="32">
        <f>AN10*INDEX(Assumptions!$C$20:$G$20,1,AN$4)</f>
        <v>11528.043616311495</v>
      </c>
      <c r="AO11" s="32">
        <f>AO10*INDEX(Assumptions!$C$20:$G$20,1,AO$4)</f>
        <v>12193.315129717033</v>
      </c>
      <c r="AP11" s="32">
        <f>AP10*INDEX(Assumptions!$C$20:$G$20,1,AP$4)</f>
        <v>12896.978776365619</v>
      </c>
      <c r="AQ11" s="32">
        <f>AQ10*INDEX(Assumptions!$C$20:$G$20,1,AQ$4)</f>
        <v>13641.250126690133</v>
      </c>
      <c r="AR11" s="32">
        <f>AR10*INDEX(Assumptions!$C$20:$G$20,1,AR$4)</f>
        <v>14015.13569848451</v>
      </c>
      <c r="AS11" s="32">
        <f>AS10*INDEX(Assumptions!$C$20:$G$20,1,AS$4)</f>
        <v>14399.268895643074</v>
      </c>
      <c r="AT11" s="32">
        <f>AT10*INDEX(Assumptions!$C$20:$G$20,1,AT$4)</f>
        <v>14793.930589730571</v>
      </c>
      <c r="AU11" s="32">
        <f>AU10*INDEX(Assumptions!$C$20:$G$20,1,AU$4)</f>
        <v>15199.409350566813</v>
      </c>
      <c r="AV11" s="32">
        <f>AV10*INDEX(Assumptions!$C$20:$G$20,1,AV$4)</f>
        <v>15616.001657224668</v>
      </c>
      <c r="AW11" s="32">
        <f>AW10*INDEX(Assumptions!$C$20:$G$20,1,AW$4)</f>
        <v>16044.012114809617</v>
      </c>
      <c r="AX11" s="32">
        <f>AX10*INDEX(Assumptions!$C$20:$G$20,1,AX$4)</f>
        <v>16483.753677181983</v>
      </c>
      <c r="AY11" s="32">
        <f>AY10*INDEX(Assumptions!$C$20:$G$20,1,AY$4)</f>
        <v>16935.547875783603</v>
      </c>
      <c r="AZ11" s="32">
        <f>AZ10*INDEX(Assumptions!$C$20:$G$20,1,AZ$4)</f>
        <v>17399.72505473591</v>
      </c>
      <c r="BA11" s="32">
        <f>BA10*INDEX(Assumptions!$C$20:$G$20,1,BA$4)</f>
        <v>17876.624612381725</v>
      </c>
      <c r="BB11" s="32">
        <f>BB10*INDEX(Assumptions!$C$20:$G$20,1,BB$4)</f>
        <v>18366.59524944807</v>
      </c>
      <c r="BC11" s="32">
        <f>BC10*INDEX(Assumptions!$C$20:$G$20,1,BC$4)</f>
        <v>18869.995224009275</v>
      </c>
    </row>
    <row r="12">
      <c r="A12" s="4" t="inlineStr">
        <is>
          <t>Installed homes (lead + 2 months)</t>
        </is>
      </c>
      <c r="B12" s="2" t="inlineStr">
        <is>
          <t>count</t>
        </is>
      </c>
      <c r="C12" s="32" t="n">
        <v>0</v>
      </c>
      <c r="D12" s="32" t="n">
        <v>0</v>
      </c>
      <c r="E12" s="32">
        <f>C11*INDEX(Assumptions!$C$21:$G$21,1,E$4)</f>
        <v>26.656000000000002</v>
      </c>
      <c r="F12" s="32">
        <f>D11*INDEX(Assumptions!$C$21:$G$21,1,F$4)</f>
        <v>46.64800000000001</v>
      </c>
      <c r="G12" s="32">
        <f>E11*INDEX(Assumptions!$C$21:$G$21,1,G$4)</f>
        <v>66.64000000000001</v>
      </c>
      <c r="H12" s="32">
        <f>F11*INDEX(Assumptions!$C$21:$G$21,1,H$4)</f>
        <v>86.632</v>
      </c>
      <c r="I12" s="32">
        <f>G11*INDEX(Assumptions!$C$21:$G$21,1,I$4)</f>
        <v>106.62400000000001</v>
      </c>
      <c r="J12" s="32">
        <f>H11*INDEX(Assumptions!$C$21:$G$21,1,J$4)</f>
        <v>121.63000036479329</v>
      </c>
      <c r="K12" s="32">
        <f>I11*INDEX(Assumptions!$C$21:$G$21,1,K$4)</f>
        <v>138.74790843280482</v>
      </c>
      <c r="L12" s="32">
        <f>J11*INDEX(Assumptions!$C$21:$G$21,1,L$4)</f>
        <v>158.27494891671785</v>
      </c>
      <c r="M12" s="32">
        <f>K11*INDEX(Assumptions!$C$21:$G$21,1,M$4)</f>
        <v>180.55017720661252</v>
      </c>
      <c r="N12" s="32">
        <f>L11*INDEX(Assumptions!$C$21:$G$21,1,N$4)</f>
        <v>205.9603665169512</v>
      </c>
      <c r="O12" s="32">
        <f>M11*INDEX(Assumptions!$C$21:$G$21,1,O$4)</f>
        <v>234.94672357620783</v>
      </c>
      <c r="P12" s="32">
        <f>N11*INDEX(Assumptions!$C$21:$G$21,1,P$4)</f>
        <v>268.01254946616933</v>
      </c>
      <c r="Q12" s="32">
        <f>O11*INDEX(Assumptions!$C$21:$G$21,1,Q$4)</f>
        <v>305.7319786290039</v>
      </c>
      <c r="R12" s="32">
        <f>P11*INDEX(Assumptions!$C$21:$G$21,1,R$4)</f>
        <v>348.75994778074653</v>
      </c>
      <c r="S12" s="32">
        <f>Q11*INDEX(Assumptions!$C$21:$G$21,1,S$4)</f>
        <v>397.84356782522696</v>
      </c>
      <c r="T12" s="32">
        <f>R11*INDEX(Assumptions!$C$21:$G$21,1,T$4)</f>
        <v>453.83509622329495</v>
      </c>
      <c r="U12" s="32">
        <f>S11*INDEX(Assumptions!$C$21:$G$21,1,U$4)</f>
        <v>517.7067350614748</v>
      </c>
      <c r="V12" s="32">
        <f>T11*INDEX(Assumptions!$C$21:$G$21,1,V$4)</f>
        <v>554.6077078821448</v>
      </c>
      <c r="W12" s="32">
        <f>U11*INDEX(Assumptions!$C$21:$G$21,1,W$4)</f>
        <v>594.1388991313037</v>
      </c>
      <c r="X12" s="32">
        <f>V11*INDEX(Assumptions!$C$21:$G$21,1,X$4)</f>
        <v>636.4877848686056</v>
      </c>
      <c r="Y12" s="32">
        <f>W11*INDEX(Assumptions!$C$21:$G$21,1,Y$4)</f>
        <v>681.8552040259709</v>
      </c>
      <c r="Z12" s="32">
        <f>X11*INDEX(Assumptions!$C$21:$G$21,1,Z$4)</f>
        <v>730.4563108831293</v>
      </c>
      <c r="AA12" s="32">
        <f>Y11*INDEX(Assumptions!$C$21:$G$21,1,AA$4)</f>
        <v>782.5215954334301</v>
      </c>
      <c r="AB12" s="32">
        <f>Z11*INDEX(Assumptions!$C$21:$G$21,1,AB$4)</f>
        <v>838.2979764790598</v>
      </c>
      <c r="AC12" s="32">
        <f>AA11*INDEX(Assumptions!$C$21:$G$21,1,AC$4)</f>
        <v>898.0499726396005</v>
      </c>
      <c r="AD12" s="32">
        <f>AB11*INDEX(Assumptions!$C$21:$G$21,1,AD$4)</f>
        <v>962.0609568274696</v>
      </c>
      <c r="AE12" s="32">
        <f>AC11*INDEX(Assumptions!$C$21:$G$21,1,AE$4)</f>
        <v>1030.6345001395973</v>
      </c>
      <c r="AF12" s="32">
        <f>AD11*INDEX(Assumptions!$C$21:$G$21,1,AF$4)</f>
        <v>1104.0958115385745</v>
      </c>
      <c r="AG12" s="32">
        <f>AE11*INDEX(Assumptions!$C$21:$G$21,1,AG$4)</f>
        <v>1182.7932801511158</v>
      </c>
      <c r="AH12" s="32">
        <f>AF11*INDEX(Assumptions!$C$21:$G$21,1,AH$4)</f>
        <v>1251.0510610653466</v>
      </c>
      <c r="AI12" s="32">
        <f>AG11*INDEX(Assumptions!$C$21:$G$21,1,AI$4)</f>
        <v>1323.2479281525782</v>
      </c>
      <c r="AJ12" s="32">
        <f>AH11*INDEX(Assumptions!$C$21:$G$21,1,AJ$4)</f>
        <v>1399.6112020152073</v>
      </c>
      <c r="AK12" s="32">
        <f>AI11*INDEX(Assumptions!$C$21:$G$21,1,AK$4)</f>
        <v>1480.381321693321</v>
      </c>
      <c r="AL12" s="32">
        <f>AJ11*INDEX(Assumptions!$C$21:$G$21,1,AL$4)</f>
        <v>1565.8126017161287</v>
      </c>
      <c r="AM12" s="32">
        <f>AK11*INDEX(Assumptions!$C$21:$G$21,1,AM$4)</f>
        <v>1656.1740328421472</v>
      </c>
      <c r="AN12" s="32">
        <f>AL11*INDEX(Assumptions!$C$21:$G$21,1,AN$4)</f>
        <v>1751.7501290093232</v>
      </c>
      <c r="AO12" s="32">
        <f>AM11*INDEX(Assumptions!$C$21:$G$21,1,AO$4)</f>
        <v>1852.8418231616022</v>
      </c>
      <c r="AP12" s="32">
        <f>AN11*INDEX(Assumptions!$C$21:$G$21,1,AP$4)</f>
        <v>1959.7674147729545</v>
      </c>
      <c r="AQ12" s="32">
        <f>AO11*INDEX(Assumptions!$C$21:$G$21,1,AQ$4)</f>
        <v>2072.863572051896</v>
      </c>
      <c r="AR12" s="32">
        <f>AP11*INDEX(Assumptions!$C$21:$G$21,1,AR$4)</f>
        <v>2192.4863919821555</v>
      </c>
      <c r="AS12" s="32">
        <f>AQ11*INDEX(Assumptions!$C$21:$G$21,1,AS$4)</f>
        <v>2319.0125215373228</v>
      </c>
      <c r="AT12" s="32">
        <f>AR11*INDEX(Assumptions!$C$21:$G$21,1,AT$4)</f>
        <v>2382.573068742367</v>
      </c>
      <c r="AU12" s="32">
        <f>AS11*INDEX(Assumptions!$C$21:$G$21,1,AU$4)</f>
        <v>2447.875712259323</v>
      </c>
      <c r="AV12" s="32">
        <f>AT11*INDEX(Assumptions!$C$21:$G$21,1,AV$4)</f>
        <v>2514.968200254197</v>
      </c>
      <c r="AW12" s="32">
        <f>AU11*INDEX(Assumptions!$C$21:$G$21,1,AW$4)</f>
        <v>2583.8995895963585</v>
      </c>
      <c r="AX12" s="32">
        <f>AV11*INDEX(Assumptions!$C$21:$G$21,1,AX$4)</f>
        <v>2654.7202817281936</v>
      </c>
      <c r="AY12" s="32">
        <f>AW11*INDEX(Assumptions!$C$21:$G$21,1,AY$4)</f>
        <v>2727.482059517635</v>
      </c>
      <c r="AZ12" s="32">
        <f>AX11*INDEX(Assumptions!$C$21:$G$21,1,AZ$4)</f>
        <v>2802.238125120937</v>
      </c>
      <c r="BA12" s="32">
        <f>AY11*INDEX(Assumptions!$C$21:$G$21,1,BA$4)</f>
        <v>2879.0431388832126</v>
      </c>
      <c r="BB12" s="32">
        <f>AZ11*INDEX(Assumptions!$C$21:$G$21,1,BB$4)</f>
        <v>2957.953259305105</v>
      </c>
      <c r="BC12" s="32">
        <f>BA11*INDEX(Assumptions!$C$21:$G$21,1,BC$4)</f>
        <v>3039.0261841048937</v>
      </c>
    </row>
    <row r="13">
      <c r="A13" s="4" t="inlineStr">
        <is>
          <t>Average system value</t>
        </is>
      </c>
      <c r="B13" s="2" t="inlineStr">
        <is>
          <t>₹</t>
        </is>
      </c>
      <c r="C13" s="32">
        <f>Assumptions!$C$39*INDEX(Assumptions!$C$40:$G$40,1,C$4)</f>
        <v>185600.0</v>
      </c>
      <c r="D13" s="32">
        <f>Assumptions!$C$39*INDEX(Assumptions!$C$40:$G$40,1,D$4)</f>
        <v>185600.0</v>
      </c>
      <c r="E13" s="32">
        <f>Assumptions!$C$39*INDEX(Assumptions!$C$40:$G$40,1,E$4)</f>
        <v>185600.0</v>
      </c>
      <c r="F13" s="32">
        <f>Assumptions!$C$39*INDEX(Assumptions!$C$40:$G$40,1,F$4)</f>
        <v>185600.0</v>
      </c>
      <c r="G13" s="32">
        <f>Assumptions!$C$39*INDEX(Assumptions!$C$40:$G$40,1,G$4)</f>
        <v>185600.0</v>
      </c>
      <c r="H13" s="32">
        <f>Assumptions!$C$39*INDEX(Assumptions!$C$40:$G$40,1,H$4)</f>
        <v>182400.0</v>
      </c>
      <c r="I13" s="32">
        <f>Assumptions!$C$39*INDEX(Assumptions!$C$40:$G$40,1,I$4)</f>
        <v>182400.0</v>
      </c>
      <c r="J13" s="32">
        <f>Assumptions!$C$39*INDEX(Assumptions!$C$40:$G$40,1,J$4)</f>
        <v>182400.0</v>
      </c>
      <c r="K13" s="32">
        <f>Assumptions!$C$39*INDEX(Assumptions!$C$40:$G$40,1,K$4)</f>
        <v>182400.0</v>
      </c>
      <c r="L13" s="32">
        <f>Assumptions!$C$39*INDEX(Assumptions!$C$40:$G$40,1,L$4)</f>
        <v>182400.0</v>
      </c>
      <c r="M13" s="32">
        <f>Assumptions!$C$39*INDEX(Assumptions!$C$40:$G$40,1,M$4)</f>
        <v>182400.0</v>
      </c>
      <c r="N13" s="32">
        <f>Assumptions!$C$39*INDEX(Assumptions!$C$40:$G$40,1,N$4)</f>
        <v>182400.0</v>
      </c>
      <c r="O13" s="32">
        <f>Assumptions!$C$39*INDEX(Assumptions!$C$40:$G$40,1,O$4)</f>
        <v>182400.0</v>
      </c>
      <c r="P13" s="32">
        <f>Assumptions!$C$39*INDEX(Assumptions!$C$40:$G$40,1,P$4)</f>
        <v>182400.0</v>
      </c>
      <c r="Q13" s="32">
        <f>Assumptions!$C$39*INDEX(Assumptions!$C$40:$G$40,1,Q$4)</f>
        <v>182400.0</v>
      </c>
      <c r="R13" s="32">
        <f>Assumptions!$C$39*INDEX(Assumptions!$C$40:$G$40,1,R$4)</f>
        <v>182400.0</v>
      </c>
      <c r="S13" s="32">
        <f>Assumptions!$C$39*INDEX(Assumptions!$C$40:$G$40,1,S$4)</f>
        <v>182400.0</v>
      </c>
      <c r="T13" s="32">
        <f>Assumptions!$C$39*INDEX(Assumptions!$C$40:$G$40,1,T$4)</f>
        <v>179200.0</v>
      </c>
      <c r="U13" s="32">
        <f>Assumptions!$C$39*INDEX(Assumptions!$C$40:$G$40,1,U$4)</f>
        <v>179200.0</v>
      </c>
      <c r="V13" s="32">
        <f>Assumptions!$C$39*INDEX(Assumptions!$C$40:$G$40,1,V$4)</f>
        <v>179200.0</v>
      </c>
      <c r="W13" s="32">
        <f>Assumptions!$C$39*INDEX(Assumptions!$C$40:$G$40,1,W$4)</f>
        <v>179200.0</v>
      </c>
      <c r="X13" s="32">
        <f>Assumptions!$C$39*INDEX(Assumptions!$C$40:$G$40,1,X$4)</f>
        <v>179200.0</v>
      </c>
      <c r="Y13" s="32">
        <f>Assumptions!$C$39*INDEX(Assumptions!$C$40:$G$40,1,Y$4)</f>
        <v>179200.0</v>
      </c>
      <c r="Z13" s="32">
        <f>Assumptions!$C$39*INDEX(Assumptions!$C$40:$G$40,1,Z$4)</f>
        <v>179200.0</v>
      </c>
      <c r="AA13" s="32">
        <f>Assumptions!$C$39*INDEX(Assumptions!$C$40:$G$40,1,AA$4)</f>
        <v>179200.0</v>
      </c>
      <c r="AB13" s="32">
        <f>Assumptions!$C$39*INDEX(Assumptions!$C$40:$G$40,1,AB$4)</f>
        <v>179200.0</v>
      </c>
      <c r="AC13" s="32">
        <f>Assumptions!$C$39*INDEX(Assumptions!$C$40:$G$40,1,AC$4)</f>
        <v>179200.0</v>
      </c>
      <c r="AD13" s="32">
        <f>Assumptions!$C$39*INDEX(Assumptions!$C$40:$G$40,1,AD$4)</f>
        <v>179200.0</v>
      </c>
      <c r="AE13" s="32">
        <f>Assumptions!$C$39*INDEX(Assumptions!$C$40:$G$40,1,AE$4)</f>
        <v>179200.0</v>
      </c>
      <c r="AF13" s="32">
        <f>Assumptions!$C$39*INDEX(Assumptions!$C$40:$G$40,1,AF$4)</f>
        <v>176000.0</v>
      </c>
      <c r="AG13" s="32">
        <f>Assumptions!$C$39*INDEX(Assumptions!$C$40:$G$40,1,AG$4)</f>
        <v>176000.0</v>
      </c>
      <c r="AH13" s="32">
        <f>Assumptions!$C$39*INDEX(Assumptions!$C$40:$G$40,1,AH$4)</f>
        <v>176000.0</v>
      </c>
      <c r="AI13" s="32">
        <f>Assumptions!$C$39*INDEX(Assumptions!$C$40:$G$40,1,AI$4)</f>
        <v>176000.0</v>
      </c>
      <c r="AJ13" s="32">
        <f>Assumptions!$C$39*INDEX(Assumptions!$C$40:$G$40,1,AJ$4)</f>
        <v>176000.0</v>
      </c>
      <c r="AK13" s="32">
        <f>Assumptions!$C$39*INDEX(Assumptions!$C$40:$G$40,1,AK$4)</f>
        <v>176000.0</v>
      </c>
      <c r="AL13" s="32">
        <f>Assumptions!$C$39*INDEX(Assumptions!$C$40:$G$40,1,AL$4)</f>
        <v>176000.0</v>
      </c>
      <c r="AM13" s="32">
        <f>Assumptions!$C$39*INDEX(Assumptions!$C$40:$G$40,1,AM$4)</f>
        <v>176000.0</v>
      </c>
      <c r="AN13" s="32">
        <f>Assumptions!$C$39*INDEX(Assumptions!$C$40:$G$40,1,AN$4)</f>
        <v>176000.0</v>
      </c>
      <c r="AO13" s="32">
        <f>Assumptions!$C$39*INDEX(Assumptions!$C$40:$G$40,1,AO$4)</f>
        <v>176000.0</v>
      </c>
      <c r="AP13" s="32">
        <f>Assumptions!$C$39*INDEX(Assumptions!$C$40:$G$40,1,AP$4)</f>
        <v>176000.0</v>
      </c>
      <c r="AQ13" s="32">
        <f>Assumptions!$C$39*INDEX(Assumptions!$C$40:$G$40,1,AQ$4)</f>
        <v>176000.0</v>
      </c>
      <c r="AR13" s="32">
        <f>Assumptions!$C$39*INDEX(Assumptions!$C$40:$G$40,1,AR$4)</f>
        <v>172800.0</v>
      </c>
      <c r="AS13" s="32">
        <f>Assumptions!$C$39*INDEX(Assumptions!$C$40:$G$40,1,AS$4)</f>
        <v>172800.0</v>
      </c>
      <c r="AT13" s="32">
        <f>Assumptions!$C$39*INDEX(Assumptions!$C$40:$G$40,1,AT$4)</f>
        <v>172800.0</v>
      </c>
      <c r="AU13" s="32">
        <f>Assumptions!$C$39*INDEX(Assumptions!$C$40:$G$40,1,AU$4)</f>
        <v>172800.0</v>
      </c>
      <c r="AV13" s="32">
        <f>Assumptions!$C$39*INDEX(Assumptions!$C$40:$G$40,1,AV$4)</f>
        <v>172800.0</v>
      </c>
      <c r="AW13" s="32">
        <f>Assumptions!$C$39*INDEX(Assumptions!$C$40:$G$40,1,AW$4)</f>
        <v>172800.0</v>
      </c>
      <c r="AX13" s="32">
        <f>Assumptions!$C$39*INDEX(Assumptions!$C$40:$G$40,1,AX$4)</f>
        <v>172800.0</v>
      </c>
      <c r="AY13" s="32">
        <f>Assumptions!$C$39*INDEX(Assumptions!$C$40:$G$40,1,AY$4)</f>
        <v>172800.0</v>
      </c>
      <c r="AZ13" s="32">
        <f>Assumptions!$C$39*INDEX(Assumptions!$C$40:$G$40,1,AZ$4)</f>
        <v>172800.0</v>
      </c>
      <c r="BA13" s="32">
        <f>Assumptions!$C$39*INDEX(Assumptions!$C$40:$G$40,1,BA$4)</f>
        <v>172800.0</v>
      </c>
      <c r="BB13" s="32">
        <f>Assumptions!$C$39*INDEX(Assumptions!$C$40:$G$40,1,BB$4)</f>
        <v>172800.0</v>
      </c>
      <c r="BC13" s="32">
        <f>Assumptions!$C$39*INDEX(Assumptions!$C$40:$G$40,1,BC$4)</f>
        <v>172800.0</v>
      </c>
    </row>
    <row r="14">
      <c r="A14" s="13" t="inlineStr">
        <is>
          <t>Revenue</t>
        </is>
      </c>
      <c r="B14" s="14" t="n"/>
    </row>
    <row r="15">
      <c r="A15" s="4" t="inlineStr">
        <is>
          <t>Lead fees (net of credits)</t>
        </is>
      </c>
      <c r="B15" s="2" t="inlineStr">
        <is>
          <t>₹ lakh</t>
        </is>
      </c>
      <c r="C15" s="34">
        <f>C11*INDEX(Assumptions!$C$22:$G$22,1,C$4)*(1-Assumptions!$C$43)/100000</f>
        <v>1.9364800000000002</v>
      </c>
      <c r="D15" s="34">
        <f>D11*INDEX(Assumptions!$C$22:$G$22,1,D$4)*(1-Assumptions!$C$43)/100000</f>
        <v>3.3888400000000005</v>
      </c>
      <c r="E15" s="34">
        <f>E11*INDEX(Assumptions!$C$22:$G$22,1,E$4)*(1-Assumptions!$C$43)/100000</f>
        <v>4.841200000000001</v>
      </c>
      <c r="F15" s="34">
        <f>F11*INDEX(Assumptions!$C$22:$G$22,1,F$4)*(1-Assumptions!$C$43)/100000</f>
        <v>6.29356</v>
      </c>
      <c r="G15" s="34">
        <f>G11*INDEX(Assumptions!$C$22:$G$22,1,G$4)*(1-Assumptions!$C$43)/100000</f>
        <v>7.745920000000001</v>
      </c>
      <c r="H15" s="34">
        <f>H11*INDEX(Assumptions!$C$22:$G$22,1,H$4)*(1-Assumptions!$C$43)/100000</f>
        <v>8.83606179120704</v>
      </c>
      <c r="I15" s="34">
        <f>I11*INDEX(Assumptions!$C$22:$G$22,1,I$4)*(1-Assumptions!$C$43)/100000</f>
        <v>10.079627465559641</v>
      </c>
      <c r="J15" s="34">
        <f>J11*INDEX(Assumptions!$C$22:$G$22,1,J$4)*(1-Assumptions!$C$43)/100000</f>
        <v>11.498209524243913</v>
      </c>
      <c r="K15" s="34">
        <f>K11*INDEX(Assumptions!$C$22:$G$22,1,K$4)*(1-Assumptions!$C$43)/100000</f>
        <v>13.116439344127437</v>
      </c>
      <c r="L15" s="34">
        <f>L11*INDEX(Assumptions!$C$22:$G$22,1,L$4)*(1-Assumptions!$C$43)/100000</f>
        <v>14.962414861672631</v>
      </c>
      <c r="M15" s="34">
        <f>M11*INDEX(Assumptions!$C$22:$G$22,1,M$4)*(1-Assumptions!$C$43)/100000</f>
        <v>17.068188448036274</v>
      </c>
      <c r="N15" s="34">
        <f>N11*INDEX(Assumptions!$C$22:$G$22,1,N$4)*(1-Assumptions!$C$43)/100000</f>
        <v>19.47032344651289</v>
      </c>
      <c r="O15" s="34">
        <f>O11*INDEX(Assumptions!$C$22:$G$22,1,O$4)*(1-Assumptions!$C$43)/100000</f>
        <v>22.21052903569528</v>
      </c>
      <c r="P15" s="34">
        <f>P11*INDEX(Assumptions!$C$22:$G$22,1,P$4)*(1-Assumptions!$C$43)/100000</f>
        <v>25.336384441718934</v>
      </c>
      <c r="Q15" s="34">
        <f>Q11*INDEX(Assumptions!$C$22:$G$22,1,Q$4)*(1-Assumptions!$C$43)/100000</f>
        <v>28.902165074362074</v>
      </c>
      <c r="R15" s="34">
        <f>R11*INDEX(Assumptions!$C$22:$G$22,1,R$4)*(1-Assumptions!$C$43)/100000</f>
        <v>32.96978493151584</v>
      </c>
      <c r="S15" s="34">
        <f>S11*INDEX(Assumptions!$C$22:$G$22,1,S$4)*(1-Assumptions!$C$43)/100000</f>
        <v>37.609871635348306</v>
      </c>
      <c r="T15" s="34">
        <f>T11*INDEX(Assumptions!$C$22:$G$22,1,T$4)*(1-Assumptions!$C$43)/100000</f>
        <v>40.290618778496984</v>
      </c>
      <c r="U15" s="34">
        <f>U11*INDEX(Assumptions!$C$22:$G$22,1,U$4)*(1-Assumptions!$C$43)/100000</f>
        <v>43.16244355453881</v>
      </c>
      <c r="V15" s="34">
        <f>V11*INDEX(Assumptions!$C$22:$G$22,1,V$4)*(1-Assumptions!$C$43)/100000</f>
        <v>46.23896554780752</v>
      </c>
      <c r="W15" s="34">
        <f>W11*INDEX(Assumptions!$C$22:$G$22,1,W$4)*(1-Assumptions!$C$43)/100000</f>
        <v>49.53477511600435</v>
      </c>
      <c r="X15" s="34">
        <f>X11*INDEX(Assumptions!$C$22:$G$22,1,X$4)*(1-Assumptions!$C$43)/100000</f>
        <v>53.06550258474497</v>
      </c>
      <c r="Y15" s="34">
        <f>Y11*INDEX(Assumptions!$C$22:$G$22,1,Y$4)*(1-Assumptions!$C$43)/100000</f>
        <v>56.847892374134474</v>
      </c>
      <c r="Z15" s="34">
        <f>Z11*INDEX(Assumptions!$C$22:$G$22,1,Z$4)*(1-Assumptions!$C$43)/100000</f>
        <v>60.89988240891993</v>
      </c>
      <c r="AA15" s="34">
        <f>AA11*INDEX(Assumptions!$C$22:$G$22,1,AA$4)*(1-Assumptions!$C$43)/100000</f>
        <v>65.24068918881802</v>
      </c>
      <c r="AB15" s="34">
        <f>AB11*INDEX(Assumptions!$C$22:$G$22,1,AB$4)*(1-Assumptions!$C$43)/100000</f>
        <v>69.89089892246616</v>
      </c>
      <c r="AC15" s="34">
        <f>AC11*INDEX(Assumptions!$C$22:$G$22,1,AC$4)*(1-Assumptions!$C$43)/100000</f>
        <v>74.87256515720014</v>
      </c>
      <c r="AD15" s="34">
        <f>AD11*INDEX(Assumptions!$C$22:$G$22,1,AD$4)*(1-Assumptions!$C$43)/100000</f>
        <v>80.20931336765526</v>
      </c>
      <c r="AE15" s="34">
        <f>AE11*INDEX(Assumptions!$C$22:$G$22,1,AE$4)*(1-Assumptions!$C$43)/100000</f>
        <v>85.92645299921341</v>
      </c>
      <c r="AF15" s="34">
        <f>AF11*INDEX(Assumptions!$C$22:$G$22,1,AF$4)*(1-Assumptions!$C$43)/100000</f>
        <v>90.8851800244531</v>
      </c>
      <c r="AG15" s="34">
        <f>AG11*INDEX(Assumptions!$C$22:$G$22,1,AG$4)*(1-Assumptions!$C$43)/100000</f>
        <v>96.13007007461374</v>
      </c>
      <c r="AH15" s="34">
        <f>AH11*INDEX(Assumptions!$C$22:$G$22,1,AH$4)*(1-Assumptions!$C$43)/100000</f>
        <v>101.67763732286947</v>
      </c>
      <c r="AI15" s="34">
        <f>AI11*INDEX(Assumptions!$C$22:$G$22,1,AI$4)*(1-Assumptions!$C$43)/100000</f>
        <v>107.5453489583089</v>
      </c>
      <c r="AJ15" s="34">
        <f>AJ11*INDEX(Assumptions!$C$22:$G$22,1,AJ$4)*(1-Assumptions!$C$43)/100000</f>
        <v>113.75168018349521</v>
      </c>
      <c r="AK15" s="34">
        <f>AK11*INDEX(Assumptions!$C$22:$G$22,1,AK$4)*(1-Assumptions!$C$43)/100000</f>
        <v>120.31617238588538</v>
      </c>
      <c r="AL15" s="34">
        <f>AL11*INDEX(Assumptions!$C$22:$G$22,1,AL$4)*(1-Assumptions!$C$43)/100000</f>
        <v>127.25949466626551</v>
      </c>
      <c r="AM15" s="34">
        <f>AM11*INDEX(Assumptions!$C$22:$G$22,1,AM$4)*(1-Assumptions!$C$43)/100000</f>
        <v>134.60350891791637</v>
      </c>
      <c r="AN15" s="34">
        <f>AN11*INDEX(Assumptions!$C$22:$G$22,1,AN$4)*(1-Assumptions!$C$43)/100000</f>
        <v>142.37133866144697</v>
      </c>
      <c r="AO15" s="34">
        <f>AO11*INDEX(Assumptions!$C$22:$G$22,1,AO$4)*(1-Assumptions!$C$43)/100000</f>
        <v>150.58744185200536</v>
      </c>
      <c r="AP15" s="34">
        <f>AP11*INDEX(Assumptions!$C$22:$G$22,1,AP$4)*(1-Assumptions!$C$43)/100000</f>
        <v>159.2776878881154</v>
      </c>
      <c r="AQ15" s="34">
        <f>AQ11*INDEX(Assumptions!$C$22:$G$22,1,AQ$4)*(1-Assumptions!$C$43)/100000</f>
        <v>168.46943906462315</v>
      </c>
      <c r="AR15" s="34">
        <f>AR11*INDEX(Assumptions!$C$22:$G$22,1,AR$4)*(1-Assumptions!$C$43)/100000</f>
        <v>173.0869258762837</v>
      </c>
      <c r="AS15" s="34">
        <f>AS11*INDEX(Assumptions!$C$22:$G$22,1,AS$4)*(1-Assumptions!$C$43)/100000</f>
        <v>177.83097086119193</v>
      </c>
      <c r="AT15" s="34">
        <f>AT11*INDEX(Assumptions!$C$22:$G$22,1,AT$4)*(1-Assumptions!$C$43)/100000</f>
        <v>182.70504278317253</v>
      </c>
      <c r="AU15" s="34">
        <f>AU11*INDEX(Assumptions!$C$22:$G$22,1,AU$4)*(1-Assumptions!$C$43)/100000</f>
        <v>187.7127054795001</v>
      </c>
      <c r="AV15" s="34">
        <f>AV11*INDEX(Assumptions!$C$22:$G$22,1,AV$4)*(1-Assumptions!$C$43)/100000</f>
        <v>192.85762046672463</v>
      </c>
      <c r="AW15" s="34">
        <f>AW11*INDEX(Assumptions!$C$22:$G$22,1,AW$4)*(1-Assumptions!$C$43)/100000</f>
        <v>198.14354961789877</v>
      </c>
      <c r="AX15" s="34">
        <f>AX11*INDEX(Assumptions!$C$22:$G$22,1,AX$4)*(1-Assumptions!$C$43)/100000</f>
        <v>203.57435791319747</v>
      </c>
      <c r="AY15" s="34">
        <f>AY11*INDEX(Assumptions!$C$22:$G$22,1,AY$4)*(1-Assumptions!$C$43)/100000</f>
        <v>209.1540162659275</v>
      </c>
      <c r="AZ15" s="34">
        <f>AZ11*INDEX(Assumptions!$C$22:$G$22,1,AZ$4)*(1-Assumptions!$C$43)/100000</f>
        <v>214.8866044259885</v>
      </c>
      <c r="BA15" s="34">
        <f>BA11*INDEX(Assumptions!$C$22:$G$22,1,BA$4)*(1-Assumptions!$C$43)/100000</f>
        <v>220.7763139629143</v>
      </c>
      <c r="BB15" s="34">
        <f>BB11*INDEX(Assumptions!$C$22:$G$22,1,BB$4)*(1-Assumptions!$C$43)/100000</f>
        <v>226.82745133068363</v>
      </c>
      <c r="BC15" s="34">
        <f>BC11*INDEX(Assumptions!$C$22:$G$22,1,BC$4)*(1-Assumptions!$C$43)/100000</f>
        <v>233.04444101651455</v>
      </c>
    </row>
    <row r="16">
      <c r="A16" s="4" t="inlineStr">
        <is>
          <t>Success fees (collected)</t>
        </is>
      </c>
      <c r="B16" s="2" t="inlineStr">
        <is>
          <t>₹ lakh</t>
        </is>
      </c>
      <c r="C16" s="34">
        <f>C12*C13*Assumptions!$C$41*Assumptions!$C$42/100000</f>
        <v>0.0</v>
      </c>
      <c r="D16" s="34">
        <f>D12*D13*Assumptions!$C$41*Assumptions!$C$42/100000</f>
        <v>0.0</v>
      </c>
      <c r="E16" s="34">
        <f>E12*E13*Assumptions!$C$41*Assumptions!$C$42/100000</f>
        <v>0.8410501120000001</v>
      </c>
      <c r="F16" s="34">
        <f>F12*F13*Assumptions!$C$41*Assumptions!$C$42/100000</f>
        <v>1.4718376960000004</v>
      </c>
      <c r="G16" s="34">
        <f>G12*G13*Assumptions!$C$41*Assumptions!$C$42/100000</f>
        <v>2.1026252800000007</v>
      </c>
      <c r="H16" s="34">
        <f>H12*H13*Assumptions!$C$41*Assumptions!$C$42/100000</f>
        <v>2.6862850560000004</v>
      </c>
      <c r="I16" s="34">
        <f>I12*I13*Assumptions!$C$41*Assumptions!$C$42/100000</f>
        <v>3.3061969920000003</v>
      </c>
      <c r="J16" s="34">
        <f>J12*J13*Assumptions!$C$41*Assumptions!$C$42/100000</f>
        <v>3.7715030513115106</v>
      </c>
      <c r="K16" s="34">
        <f>K12*K13*Assumptions!$C$41*Assumptions!$C$42/100000</f>
        <v>4.302295144684412</v>
      </c>
      <c r="L16" s="34">
        <f>L12*L13*Assumptions!$C$41*Assumptions!$C$42/100000</f>
        <v>4.907789616009587</v>
      </c>
      <c r="M16" s="34">
        <f>M12*M13*Assumptions!$C$41*Assumptions!$C$42/100000</f>
        <v>5.598499894822641</v>
      </c>
      <c r="N16" s="34">
        <f>N12*N13*Assumptions!$C$41*Assumptions!$C$42/100000</f>
        <v>6.386419044957624</v>
      </c>
      <c r="O16" s="34">
        <f>O12*O13*Assumptions!$C$41*Assumptions!$C$42/100000</f>
        <v>7.285228004651052</v>
      </c>
      <c r="P16" s="34">
        <f>P12*P13*Assumptions!$C$41*Assumptions!$C$42/100000</f>
        <v>8.310533133846977</v>
      </c>
      <c r="Q16" s="34">
        <f>Q12*Q13*Assumptions!$C$41*Assumptions!$C$42/100000</f>
        <v>9.480137193328153</v>
      </c>
      <c r="R16" s="34">
        <f>R12*R13*Assumptions!$C$41*Assumptions!$C$42/100000</f>
        <v>10.814348460785387</v>
      </c>
      <c r="S16" s="34">
        <f>S12*S13*Assumptions!$C$41*Assumptions!$C$42/100000</f>
        <v>12.336333351124638</v>
      </c>
      <c r="T16" s="34">
        <f>T12*T13*Assumptions!$C$41*Assumptions!$C$42/100000</f>
        <v>13.825632371346456</v>
      </c>
      <c r="U16" s="34">
        <f>U12*U13*Assumptions!$C$41*Assumptions!$C$42/100000</f>
        <v>15.771417976912767</v>
      </c>
      <c r="V16" s="34">
        <f>V12*V13*Assumptions!$C$41*Assumptions!$C$42/100000</f>
        <v>16.89556921292166</v>
      </c>
      <c r="W16" s="34">
        <f>W12*W13*Assumptions!$C$41*Assumptions!$C$42/100000</f>
        <v>18.099847423136037</v>
      </c>
      <c r="X16" s="34">
        <f>X12*X13*Assumptions!$C$41*Assumptions!$C$42/100000</f>
        <v>19.3899638782372</v>
      </c>
      <c r="Y16" s="34">
        <f>Y12*Y13*Assumptions!$C$41*Assumptions!$C$42/100000</f>
        <v>20.772036935447176</v>
      </c>
      <c r="Z16" s="34">
        <f>Z12*Z13*Assumptions!$C$41*Assumptions!$C$42/100000</f>
        <v>22.25262105474365</v>
      </c>
      <c r="AA16" s="34">
        <f>AA12*AA13*Assumptions!$C$41*Assumptions!$C$42/100000</f>
        <v>23.83873788328401</v>
      </c>
      <c r="AB16" s="34">
        <f>AB12*AB13*Assumptions!$C$41*Assumptions!$C$42/100000</f>
        <v>25.537909555458082</v>
      </c>
      <c r="AC16" s="34">
        <f>AC12*AC13*Assumptions!$C$41*Assumptions!$C$42/100000</f>
        <v>27.35819436649279</v>
      </c>
      <c r="AD16" s="34">
        <f>AD12*AD13*Assumptions!$C$41*Assumptions!$C$42/100000</f>
        <v>29.308224988792034</v>
      </c>
      <c r="AE16" s="34">
        <f>AE12*AE13*Assumptions!$C$41*Assumptions!$C$42/100000</f>
        <v>31.397249412252688</v>
      </c>
      <c r="AF16" s="34">
        <f>AF12*AF13*Assumptions!$C$41*Assumptions!$C$42/100000</f>
        <v>33.034546681234154</v>
      </c>
      <c r="AG16" s="34">
        <f>AG12*AG13*Assumptions!$C$41*Assumptions!$C$42/100000</f>
        <v>35.389174942121386</v>
      </c>
      <c r="AH16" s="34">
        <f>AH12*AH13*Assumptions!$C$41*Assumptions!$C$42/100000</f>
        <v>37.43144774707517</v>
      </c>
      <c r="AI16" s="34">
        <f>AI12*AI13*Assumptions!$C$41*Assumptions!$C$42/100000</f>
        <v>39.59157801032514</v>
      </c>
      <c r="AJ16" s="34">
        <f>AJ12*AJ13*Assumptions!$C$41*Assumptions!$C$42/100000</f>
        <v>41.876367164295004</v>
      </c>
      <c r="AK16" s="34">
        <f>AK12*AK13*Assumptions!$C$41*Assumptions!$C$42/100000</f>
        <v>44.29300914506417</v>
      </c>
      <c r="AL16" s="34">
        <f>AL12*AL13*Assumptions!$C$41*Assumptions!$C$42/100000</f>
        <v>46.84911304334656</v>
      </c>
      <c r="AM16" s="34">
        <f>AM12*AM13*Assumptions!$C$41*Assumptions!$C$42/100000</f>
        <v>49.55272706263704</v>
      </c>
      <c r="AN16" s="34">
        <f>AN12*AN13*Assumptions!$C$41*Assumptions!$C$42/100000</f>
        <v>52.41236385995896</v>
      </c>
      <c r="AO16" s="34">
        <f>AO12*AO13*Assumptions!$C$41*Assumptions!$C$42/100000</f>
        <v>55.43702734899514</v>
      </c>
      <c r="AP16" s="34">
        <f>AP12*AP13*Assumptions!$C$41*Assumptions!$C$42/100000</f>
        <v>58.636241050006795</v>
      </c>
      <c r="AQ16" s="34">
        <f>AQ12*AQ13*Assumptions!$C$41*Assumptions!$C$42/100000</f>
        <v>62.020078075792725</v>
      </c>
      <c r="AR16" s="34">
        <f>AR12*AR13*Assumptions!$C$41*Assumptions!$C$42/100000</f>
        <v>64.4064802508678</v>
      </c>
      <c r="AS16" s="34">
        <f>AS12*AS13*Assumptions!$C$41*Assumptions!$C$42/100000</f>
        <v>68.12331183268039</v>
      </c>
      <c r="AT16" s="34">
        <f>AT12*AT13*Assumptions!$C$41*Assumptions!$C$42/100000</f>
        <v>69.99046646737577</v>
      </c>
      <c r="AU16" s="34">
        <f>AU12*AU13*Assumptions!$C$41*Assumptions!$C$42/100000</f>
        <v>71.90879692332987</v>
      </c>
      <c r="AV16" s="34">
        <f>AV12*AV13*Assumptions!$C$41*Assumptions!$C$42/100000</f>
        <v>73.87970585066728</v>
      </c>
      <c r="AW16" s="34">
        <f>AW12*AW13*Assumptions!$C$41*Assumptions!$C$42/100000</f>
        <v>75.90463434398264</v>
      </c>
      <c r="AX16" s="34">
        <f>AX12*AX13*Assumptions!$C$41*Assumptions!$C$42/100000</f>
        <v>77.9850629960474</v>
      </c>
      <c r="AY16" s="34">
        <f>AY12*AY13*Assumptions!$C$41*Assumptions!$C$42/100000</f>
        <v>80.12251298039006</v>
      </c>
      <c r="AZ16" s="34">
        <f>AZ12*AZ13*Assumptions!$C$41*Assumptions!$C$42/100000</f>
        <v>82.31854716355264</v>
      </c>
      <c r="BA16" s="34">
        <f>BA12*BA13*Assumptions!$C$41*Assumptions!$C$42/100000</f>
        <v>84.57477124783324</v>
      </c>
      <c r="BB16" s="34">
        <f>BB12*BB13*Assumptions!$C$41*Assumptions!$C$42/100000</f>
        <v>86.89283494534675</v>
      </c>
      <c r="BC16" s="34">
        <f>BC12*BC13*Assumptions!$C$41*Assumptions!$C$42/100000</f>
        <v>89.27443318426536</v>
      </c>
    </row>
    <row r="17">
      <c r="A17" s="4" t="inlineStr">
        <is>
          <t>Loan origination</t>
        </is>
      </c>
      <c r="B17" s="2" t="inlineStr">
        <is>
          <t>₹ lakh</t>
        </is>
      </c>
      <c r="C17" s="34">
        <f>C12*Assumptions!$C$44*Assumptions!$C$45*Assumptions!$C$46/100000</f>
        <v>0.0</v>
      </c>
      <c r="D17" s="34">
        <f>D12*Assumptions!$C$44*Assumptions!$C$45*Assumptions!$C$46/100000</f>
        <v>0.0</v>
      </c>
      <c r="E17" s="34">
        <f>E12*Assumptions!$C$44*Assumptions!$C$45*Assumptions!$C$46/100000</f>
        <v>0.14927360000000003</v>
      </c>
      <c r="F17" s="34">
        <f>F12*Assumptions!$C$44*Assumptions!$C$45*Assumptions!$C$46/100000</f>
        <v>0.26122880000000004</v>
      </c>
      <c r="G17" s="34">
        <f>G12*Assumptions!$C$44*Assumptions!$C$45*Assumptions!$C$46/100000</f>
        <v>0.37318400000000007</v>
      </c>
      <c r="H17" s="34">
        <f>H12*Assumptions!$C$44*Assumptions!$C$45*Assumptions!$C$46/100000</f>
        <v>0.4851392</v>
      </c>
      <c r="I17" s="34">
        <f>I12*Assumptions!$C$44*Assumptions!$C$45*Assumptions!$C$46/100000</f>
        <v>0.5970944000000001</v>
      </c>
      <c r="J17" s="34">
        <f>J12*Assumptions!$C$44*Assumptions!$C$45*Assumptions!$C$46/100000</f>
        <v>0.6811280020428424</v>
      </c>
      <c r="K17" s="34">
        <f>K12*Assumptions!$C$44*Assumptions!$C$45*Assumptions!$C$46/100000</f>
        <v>0.776988287223707</v>
      </c>
      <c r="L17" s="34">
        <f>L12*Assumptions!$C$44*Assumptions!$C$45*Assumptions!$C$46/100000</f>
        <v>0.8863397139336199</v>
      </c>
      <c r="M17" s="34">
        <f>M12*Assumptions!$C$44*Assumptions!$C$45*Assumptions!$C$46/100000</f>
        <v>1.01108099235703</v>
      </c>
      <c r="N17" s="34">
        <f>N12*Assumptions!$C$44*Assumptions!$C$45*Assumptions!$C$46/100000</f>
        <v>1.1533780524949269</v>
      </c>
      <c r="O17" s="34">
        <f>O12*Assumptions!$C$44*Assumptions!$C$45*Assumptions!$C$46/100000</f>
        <v>1.3157016520267637</v>
      </c>
      <c r="P17" s="34">
        <f>P12*Assumptions!$C$44*Assumptions!$C$45*Assumptions!$C$46/100000</f>
        <v>1.5008702770105482</v>
      </c>
      <c r="Q17" s="34">
        <f>Q12*Assumptions!$C$44*Assumptions!$C$45*Assumptions!$C$46/100000</f>
        <v>1.7120990803224219</v>
      </c>
      <c r="R17" s="34">
        <f>R12*Assumptions!$C$44*Assumptions!$C$45*Assumptions!$C$46/100000</f>
        <v>1.9530557075721806</v>
      </c>
      <c r="S17" s="34">
        <f>S12*Assumptions!$C$44*Assumptions!$C$45*Assumptions!$C$46/100000</f>
        <v>2.2279239798212704</v>
      </c>
      <c r="T17" s="34">
        <f>T12*Assumptions!$C$44*Assumptions!$C$45*Assumptions!$C$46/100000</f>
        <v>2.5414765388504517</v>
      </c>
      <c r="U17" s="34">
        <f>U12*Assumptions!$C$44*Assumptions!$C$45*Assumptions!$C$46/100000</f>
        <v>2.8991577163442583</v>
      </c>
      <c r="V17" s="34">
        <f>V12*Assumptions!$C$44*Assumptions!$C$45*Assumptions!$C$46/100000</f>
        <v>3.1058031641400103</v>
      </c>
      <c r="W17" s="34">
        <f>W12*Assumptions!$C$44*Assumptions!$C$45*Assumptions!$C$46/100000</f>
        <v>3.3271778351353003</v>
      </c>
      <c r="X17" s="34">
        <f>X12*Assumptions!$C$44*Assumptions!$C$45*Assumptions!$C$46/100000</f>
        <v>3.5643315952641914</v>
      </c>
      <c r="Y17" s="34">
        <f>Y12*Assumptions!$C$44*Assumptions!$C$45*Assumptions!$C$46/100000</f>
        <v>3.818389142545437</v>
      </c>
      <c r="Z17" s="34">
        <f>Z12*Assumptions!$C$44*Assumptions!$C$45*Assumptions!$C$46/100000</f>
        <v>4.0905553409455235</v>
      </c>
      <c r="AA17" s="34">
        <f>AA12*Assumptions!$C$44*Assumptions!$C$45*Assumptions!$C$46/100000</f>
        <v>4.382120934427208</v>
      </c>
      <c r="AB17" s="34">
        <f>AB12*Assumptions!$C$44*Assumptions!$C$45*Assumptions!$C$46/100000</f>
        <v>4.694468668282734</v>
      </c>
      <c r="AC17" s="34">
        <f>AC12*Assumptions!$C$44*Assumptions!$C$45*Assumptions!$C$46/100000</f>
        <v>5.029079846781762</v>
      </c>
      <c r="AD17" s="34">
        <f>AD12*Assumptions!$C$44*Assumptions!$C$45*Assumptions!$C$46/100000</f>
        <v>5.38754135823383</v>
      </c>
      <c r="AE17" s="34">
        <f>AE12*Assumptions!$C$44*Assumptions!$C$45*Assumptions!$C$46/100000</f>
        <v>5.771553200781745</v>
      </c>
      <c r="AF17" s="34">
        <f>AF12*Assumptions!$C$44*Assumptions!$C$45*Assumptions!$C$46/100000</f>
        <v>6.182936544616016</v>
      </c>
      <c r="AG17" s="34">
        <f>AG12*Assumptions!$C$44*Assumptions!$C$45*Assumptions!$C$46/100000</f>
        <v>6.623642368846248</v>
      </c>
      <c r="AH17" s="34">
        <f>AH12*Assumptions!$C$44*Assumptions!$C$45*Assumptions!$C$46/100000</f>
        <v>7.005885941965941</v>
      </c>
      <c r="AI17" s="34">
        <f>AI12*Assumptions!$C$44*Assumptions!$C$45*Assumptions!$C$46/100000</f>
        <v>7.410188397654438</v>
      </c>
      <c r="AJ17" s="34">
        <f>AJ12*Assumptions!$C$44*Assumptions!$C$45*Assumptions!$C$46/100000</f>
        <v>7.8378227312851605</v>
      </c>
      <c r="AK17" s="34">
        <f>AK12*Assumptions!$C$44*Assumptions!$C$45*Assumptions!$C$46/100000</f>
        <v>8.290135401482598</v>
      </c>
      <c r="AL17" s="34">
        <f>AL12*Assumptions!$C$44*Assumptions!$C$45*Assumptions!$C$46/100000</f>
        <v>8.768550569610323</v>
      </c>
      <c r="AM17" s="34">
        <f>AM12*Assumptions!$C$44*Assumptions!$C$45*Assumptions!$C$46/100000</f>
        <v>9.274574583916024</v>
      </c>
      <c r="AN17" s="34">
        <f>AN12*Assumptions!$C$44*Assumptions!$C$45*Assumptions!$C$46/100000</f>
        <v>9.80980072245221</v>
      </c>
      <c r="AO17" s="34">
        <f>AO12*Assumptions!$C$44*Assumptions!$C$45*Assumptions!$C$46/100000</f>
        <v>10.375914209704971</v>
      </c>
      <c r="AP17" s="34">
        <f>AP12*Assumptions!$C$44*Assumptions!$C$45*Assumptions!$C$46/100000</f>
        <v>10.974697522728546</v>
      </c>
      <c r="AQ17" s="34">
        <f>AQ12*Assumptions!$C$44*Assumptions!$C$45*Assumptions!$C$46/100000</f>
        <v>11.608036003490616</v>
      </c>
      <c r="AR17" s="34">
        <f>AR12*Assumptions!$C$44*Assumptions!$C$45*Assumptions!$C$46/100000</f>
        <v>12.27792379510007</v>
      </c>
      <c r="AS17" s="34">
        <f>AS12*Assumptions!$C$44*Assumptions!$C$45*Assumptions!$C$46/100000</f>
        <v>12.986470120609006</v>
      </c>
      <c r="AT17" s="34">
        <f>AT12*Assumptions!$C$44*Assumptions!$C$45*Assumptions!$C$46/100000</f>
        <v>13.342409184957253</v>
      </c>
      <c r="AU17" s="34">
        <f>AU12*Assumptions!$C$44*Assumptions!$C$45*Assumptions!$C$46/100000</f>
        <v>13.708103988652207</v>
      </c>
      <c r="AV17" s="34">
        <f>AV12*Assumptions!$C$44*Assumptions!$C$45*Assumptions!$C$46/100000</f>
        <v>14.083821921423503</v>
      </c>
      <c r="AW17" s="34">
        <f>AW12*Assumptions!$C$44*Assumptions!$C$45*Assumptions!$C$46/100000</f>
        <v>14.469837701739605</v>
      </c>
      <c r="AX17" s="34">
        <f>AX12*Assumptions!$C$44*Assumptions!$C$45*Assumptions!$C$46/100000</f>
        <v>14.866433577677883</v>
      </c>
      <c r="AY17" s="34">
        <f>AY12*Assumptions!$C$44*Assumptions!$C$45*Assumptions!$C$46/100000</f>
        <v>15.273899533298756</v>
      </c>
      <c r="AZ17" s="34">
        <f>AZ12*Assumptions!$C$44*Assumptions!$C$45*Assumptions!$C$46/100000</f>
        <v>15.69253350067725</v>
      </c>
      <c r="BA17" s="34">
        <f>BA12*Assumptions!$C$44*Assumptions!$C$45*Assumptions!$C$46/100000</f>
        <v>16.12264157774599</v>
      </c>
      <c r="BB17" s="34">
        <f>BB12*Assumptions!$C$44*Assumptions!$C$45*Assumptions!$C$46/100000</f>
        <v>16.564538252108587</v>
      </c>
      <c r="BC17" s="34">
        <f>BC12*Assumptions!$C$44*Assumptions!$C$45*Assumptions!$C$46/100000</f>
        <v>17.018546630987405</v>
      </c>
    </row>
    <row r="18">
      <c r="A18" s="4" t="inlineStr">
        <is>
          <t>Paying SaaS installers</t>
        </is>
      </c>
      <c r="B18" s="2" t="inlineStr">
        <is>
          <t>count (ramp)</t>
        </is>
      </c>
      <c r="C18" s="34">
        <f>(INDEX(Assumptions!$C$24:$G$24,1,C$4)+(INDEX(Assumptions!$C$24:$G$24,1,C$4)-IF(C$4=1,0,INDEX(Assumptions!$C$24:$G$24,1,MAX(1,C$4-1))))*(C$5-(C$6+1)/2)/C$6)</f>
        <v>9.0</v>
      </c>
      <c r="D18" s="34">
        <f>(INDEX(Assumptions!$C$24:$G$24,1,D$4)+(INDEX(Assumptions!$C$24:$G$24,1,D$4)-IF(D$4=1,0,INDEX(Assumptions!$C$24:$G$24,1,MAX(1,D$4-1))))*(D$5-(D$6+1)/2)/D$6)</f>
        <v>12.0</v>
      </c>
      <c r="E18" s="34">
        <f>(INDEX(Assumptions!$C$24:$G$24,1,E$4)+(INDEX(Assumptions!$C$24:$G$24,1,E$4)-IF(E$4=1,0,INDEX(Assumptions!$C$24:$G$24,1,MAX(1,E$4-1))))*(E$5-(E$6+1)/2)/E$6)</f>
        <v>15.0</v>
      </c>
      <c r="F18" s="34">
        <f>(INDEX(Assumptions!$C$24:$G$24,1,F$4)+(INDEX(Assumptions!$C$24:$G$24,1,F$4)-IF(F$4=1,0,INDEX(Assumptions!$C$24:$G$24,1,MAX(1,F$4-1))))*(F$5-(F$6+1)/2)/F$6)</f>
        <v>18.0</v>
      </c>
      <c r="G18" s="34">
        <f>(INDEX(Assumptions!$C$24:$G$24,1,G$4)+(INDEX(Assumptions!$C$24:$G$24,1,G$4)-IF(G$4=1,0,INDEX(Assumptions!$C$24:$G$24,1,MAX(1,G$4-1))))*(G$5-(G$6+1)/2)/G$6)</f>
        <v>21.0</v>
      </c>
      <c r="H18" s="34">
        <f>(INDEX(Assumptions!$C$24:$G$24,1,H$4)+(INDEX(Assumptions!$C$24:$G$24,1,H$4)-IF(H$4=1,0,INDEX(Assumptions!$C$24:$G$24,1,MAX(1,H$4-1))))*(H$5-(H$6+1)/2)/H$6)</f>
        <v>104.375</v>
      </c>
      <c r="I18" s="34">
        <f>(INDEX(Assumptions!$C$24:$G$24,1,I$4)+(INDEX(Assumptions!$C$24:$G$24,1,I$4)-IF(I$4=1,0,INDEX(Assumptions!$C$24:$G$24,1,MAX(1,I$4-1))))*(I$5-(I$6+1)/2)/I$6)</f>
        <v>118.125</v>
      </c>
      <c r="J18" s="34">
        <f>(INDEX(Assumptions!$C$24:$G$24,1,J$4)+(INDEX(Assumptions!$C$24:$G$24,1,J$4)-IF(J$4=1,0,INDEX(Assumptions!$C$24:$G$24,1,MAX(1,J$4-1))))*(J$5-(J$6+1)/2)/J$6)</f>
        <v>131.875</v>
      </c>
      <c r="K18" s="34">
        <f>(INDEX(Assumptions!$C$24:$G$24,1,K$4)+(INDEX(Assumptions!$C$24:$G$24,1,K$4)-IF(K$4=1,0,INDEX(Assumptions!$C$24:$G$24,1,MAX(1,K$4-1))))*(K$5-(K$6+1)/2)/K$6)</f>
        <v>145.625</v>
      </c>
      <c r="L18" s="34">
        <f>(INDEX(Assumptions!$C$24:$G$24,1,L$4)+(INDEX(Assumptions!$C$24:$G$24,1,L$4)-IF(L$4=1,0,INDEX(Assumptions!$C$24:$G$24,1,MAX(1,L$4-1))))*(L$5-(L$6+1)/2)/L$6)</f>
        <v>159.375</v>
      </c>
      <c r="M18" s="34">
        <f>(INDEX(Assumptions!$C$24:$G$24,1,M$4)+(INDEX(Assumptions!$C$24:$G$24,1,M$4)-IF(M$4=1,0,INDEX(Assumptions!$C$24:$G$24,1,MAX(1,M$4-1))))*(M$5-(M$6+1)/2)/M$6)</f>
        <v>173.125</v>
      </c>
      <c r="N18" s="34">
        <f>(INDEX(Assumptions!$C$24:$G$24,1,N$4)+(INDEX(Assumptions!$C$24:$G$24,1,N$4)-IF(N$4=1,0,INDEX(Assumptions!$C$24:$G$24,1,MAX(1,N$4-1))))*(N$5-(N$6+1)/2)/N$6)</f>
        <v>186.875</v>
      </c>
      <c r="O18" s="34">
        <f>(INDEX(Assumptions!$C$24:$G$24,1,O$4)+(INDEX(Assumptions!$C$24:$G$24,1,O$4)-IF(O$4=1,0,INDEX(Assumptions!$C$24:$G$24,1,MAX(1,O$4-1))))*(O$5-(O$6+1)/2)/O$6)</f>
        <v>200.625</v>
      </c>
      <c r="P18" s="34">
        <f>(INDEX(Assumptions!$C$24:$G$24,1,P$4)+(INDEX(Assumptions!$C$24:$G$24,1,P$4)-IF(P$4=1,0,INDEX(Assumptions!$C$24:$G$24,1,MAX(1,P$4-1))))*(P$5-(P$6+1)/2)/P$6)</f>
        <v>214.375</v>
      </c>
      <c r="Q18" s="34">
        <f>(INDEX(Assumptions!$C$24:$G$24,1,Q$4)+(INDEX(Assumptions!$C$24:$G$24,1,Q$4)-IF(Q$4=1,0,INDEX(Assumptions!$C$24:$G$24,1,MAX(1,Q$4-1))))*(Q$5-(Q$6+1)/2)/Q$6)</f>
        <v>228.125</v>
      </c>
      <c r="R18" s="34">
        <f>(INDEX(Assumptions!$C$24:$G$24,1,R$4)+(INDEX(Assumptions!$C$24:$G$24,1,R$4)-IF(R$4=1,0,INDEX(Assumptions!$C$24:$G$24,1,MAX(1,R$4-1))))*(R$5-(R$6+1)/2)/R$6)</f>
        <v>241.875</v>
      </c>
      <c r="S18" s="34">
        <f>(INDEX(Assumptions!$C$24:$G$24,1,S$4)+(INDEX(Assumptions!$C$24:$G$24,1,S$4)-IF(S$4=1,0,INDEX(Assumptions!$C$24:$G$24,1,MAX(1,S$4-1))))*(S$5-(S$6+1)/2)/S$6)</f>
        <v>255.625</v>
      </c>
      <c r="T18" s="34">
        <f>(INDEX(Assumptions!$C$24:$G$24,1,T$4)+(INDEX(Assumptions!$C$24:$G$24,1,T$4)-IF(T$4=1,0,INDEX(Assumptions!$C$24:$G$24,1,MAX(1,T$4-1))))*(T$5-(T$6+1)/2)/T$6)</f>
        <v>375.0</v>
      </c>
      <c r="U18" s="34">
        <f>(INDEX(Assumptions!$C$24:$G$24,1,U$4)+(INDEX(Assumptions!$C$24:$G$24,1,U$4)-IF(U$4=1,0,INDEX(Assumptions!$C$24:$G$24,1,MAX(1,U$4-1))))*(U$5-(U$6+1)/2)/U$6)</f>
        <v>405.0</v>
      </c>
      <c r="V18" s="34">
        <f>(INDEX(Assumptions!$C$24:$G$24,1,V$4)+(INDEX(Assumptions!$C$24:$G$24,1,V$4)-IF(V$4=1,0,INDEX(Assumptions!$C$24:$G$24,1,MAX(1,V$4-1))))*(V$5-(V$6+1)/2)/V$6)</f>
        <v>435.0</v>
      </c>
      <c r="W18" s="34">
        <f>(INDEX(Assumptions!$C$24:$G$24,1,W$4)+(INDEX(Assumptions!$C$24:$G$24,1,W$4)-IF(W$4=1,0,INDEX(Assumptions!$C$24:$G$24,1,MAX(1,W$4-1))))*(W$5-(W$6+1)/2)/W$6)</f>
        <v>465.0</v>
      </c>
      <c r="X18" s="34">
        <f>(INDEX(Assumptions!$C$24:$G$24,1,X$4)+(INDEX(Assumptions!$C$24:$G$24,1,X$4)-IF(X$4=1,0,INDEX(Assumptions!$C$24:$G$24,1,MAX(1,X$4-1))))*(X$5-(X$6+1)/2)/X$6)</f>
        <v>495.0</v>
      </c>
      <c r="Y18" s="34">
        <f>(INDEX(Assumptions!$C$24:$G$24,1,Y$4)+(INDEX(Assumptions!$C$24:$G$24,1,Y$4)-IF(Y$4=1,0,INDEX(Assumptions!$C$24:$G$24,1,MAX(1,Y$4-1))))*(Y$5-(Y$6+1)/2)/Y$6)</f>
        <v>525.0</v>
      </c>
      <c r="Z18" s="34">
        <f>(INDEX(Assumptions!$C$24:$G$24,1,Z$4)+(INDEX(Assumptions!$C$24:$G$24,1,Z$4)-IF(Z$4=1,0,INDEX(Assumptions!$C$24:$G$24,1,MAX(1,Z$4-1))))*(Z$5-(Z$6+1)/2)/Z$6)</f>
        <v>555.0</v>
      </c>
      <c r="AA18" s="34">
        <f>(INDEX(Assumptions!$C$24:$G$24,1,AA$4)+(INDEX(Assumptions!$C$24:$G$24,1,AA$4)-IF(AA$4=1,0,INDEX(Assumptions!$C$24:$G$24,1,MAX(1,AA$4-1))))*(AA$5-(AA$6+1)/2)/AA$6)</f>
        <v>585.0</v>
      </c>
      <c r="AB18" s="34">
        <f>(INDEX(Assumptions!$C$24:$G$24,1,AB$4)+(INDEX(Assumptions!$C$24:$G$24,1,AB$4)-IF(AB$4=1,0,INDEX(Assumptions!$C$24:$G$24,1,MAX(1,AB$4-1))))*(AB$5-(AB$6+1)/2)/AB$6)</f>
        <v>615.0</v>
      </c>
      <c r="AC18" s="34">
        <f>(INDEX(Assumptions!$C$24:$G$24,1,AC$4)+(INDEX(Assumptions!$C$24:$G$24,1,AC$4)-IF(AC$4=1,0,INDEX(Assumptions!$C$24:$G$24,1,MAX(1,AC$4-1))))*(AC$5-(AC$6+1)/2)/AC$6)</f>
        <v>645.0</v>
      </c>
      <c r="AD18" s="34">
        <f>(INDEX(Assumptions!$C$24:$G$24,1,AD$4)+(INDEX(Assumptions!$C$24:$G$24,1,AD$4)-IF(AD$4=1,0,INDEX(Assumptions!$C$24:$G$24,1,MAX(1,AD$4-1))))*(AD$5-(AD$6+1)/2)/AD$6)</f>
        <v>675.0</v>
      </c>
      <c r="AE18" s="34">
        <f>(INDEX(Assumptions!$C$24:$G$24,1,AE$4)+(INDEX(Assumptions!$C$24:$G$24,1,AE$4)-IF(AE$4=1,0,INDEX(Assumptions!$C$24:$G$24,1,MAX(1,AE$4-1))))*(AE$5-(AE$6+1)/2)/AE$6)</f>
        <v>705.0</v>
      </c>
      <c r="AF18" s="34">
        <f>(INDEX(Assumptions!$C$24:$G$24,1,AF$4)+(INDEX(Assumptions!$C$24:$G$24,1,AF$4)-IF(AF$4=1,0,INDEX(Assumptions!$C$24:$G$24,1,MAX(1,AF$4-1))))*(AF$5-(AF$6+1)/2)/AF$6)</f>
        <v>767.5</v>
      </c>
      <c r="AG18" s="34">
        <f>(INDEX(Assumptions!$C$24:$G$24,1,AG$4)+(INDEX(Assumptions!$C$24:$G$24,1,AG$4)-IF(AG$4=1,0,INDEX(Assumptions!$C$24:$G$24,1,MAX(1,AG$4-1))))*(AG$5-(AG$6+1)/2)/AG$6)</f>
        <v>802.5</v>
      </c>
      <c r="AH18" s="34">
        <f>(INDEX(Assumptions!$C$24:$G$24,1,AH$4)+(INDEX(Assumptions!$C$24:$G$24,1,AH$4)-IF(AH$4=1,0,INDEX(Assumptions!$C$24:$G$24,1,MAX(1,AH$4-1))))*(AH$5-(AH$6+1)/2)/AH$6)</f>
        <v>837.5</v>
      </c>
      <c r="AI18" s="34">
        <f>(INDEX(Assumptions!$C$24:$G$24,1,AI$4)+(INDEX(Assumptions!$C$24:$G$24,1,AI$4)-IF(AI$4=1,0,INDEX(Assumptions!$C$24:$G$24,1,MAX(1,AI$4-1))))*(AI$5-(AI$6+1)/2)/AI$6)</f>
        <v>872.5</v>
      </c>
      <c r="AJ18" s="34">
        <f>(INDEX(Assumptions!$C$24:$G$24,1,AJ$4)+(INDEX(Assumptions!$C$24:$G$24,1,AJ$4)-IF(AJ$4=1,0,INDEX(Assumptions!$C$24:$G$24,1,MAX(1,AJ$4-1))))*(AJ$5-(AJ$6+1)/2)/AJ$6)</f>
        <v>907.5</v>
      </c>
      <c r="AK18" s="34">
        <f>(INDEX(Assumptions!$C$24:$G$24,1,AK$4)+(INDEX(Assumptions!$C$24:$G$24,1,AK$4)-IF(AK$4=1,0,INDEX(Assumptions!$C$24:$G$24,1,MAX(1,AK$4-1))))*(AK$5-(AK$6+1)/2)/AK$6)</f>
        <v>942.5</v>
      </c>
      <c r="AL18" s="34">
        <f>(INDEX(Assumptions!$C$24:$G$24,1,AL$4)+(INDEX(Assumptions!$C$24:$G$24,1,AL$4)-IF(AL$4=1,0,INDEX(Assumptions!$C$24:$G$24,1,MAX(1,AL$4-1))))*(AL$5-(AL$6+1)/2)/AL$6)</f>
        <v>977.5</v>
      </c>
      <c r="AM18" s="34">
        <f>(INDEX(Assumptions!$C$24:$G$24,1,AM$4)+(INDEX(Assumptions!$C$24:$G$24,1,AM$4)-IF(AM$4=1,0,INDEX(Assumptions!$C$24:$G$24,1,MAX(1,AM$4-1))))*(AM$5-(AM$6+1)/2)/AM$6)</f>
        <v>1012.5</v>
      </c>
      <c r="AN18" s="34">
        <f>(INDEX(Assumptions!$C$24:$G$24,1,AN$4)+(INDEX(Assumptions!$C$24:$G$24,1,AN$4)-IF(AN$4=1,0,INDEX(Assumptions!$C$24:$G$24,1,MAX(1,AN$4-1))))*(AN$5-(AN$6+1)/2)/AN$6)</f>
        <v>1047.5</v>
      </c>
      <c r="AO18" s="34">
        <f>(INDEX(Assumptions!$C$24:$G$24,1,AO$4)+(INDEX(Assumptions!$C$24:$G$24,1,AO$4)-IF(AO$4=1,0,INDEX(Assumptions!$C$24:$G$24,1,MAX(1,AO$4-1))))*(AO$5-(AO$6+1)/2)/AO$6)</f>
        <v>1082.5</v>
      </c>
      <c r="AP18" s="34">
        <f>(INDEX(Assumptions!$C$24:$G$24,1,AP$4)+(INDEX(Assumptions!$C$24:$G$24,1,AP$4)-IF(AP$4=1,0,INDEX(Assumptions!$C$24:$G$24,1,MAX(1,AP$4-1))))*(AP$5-(AP$6+1)/2)/AP$6)</f>
        <v>1117.5</v>
      </c>
      <c r="AQ18" s="34">
        <f>(INDEX(Assumptions!$C$24:$G$24,1,AQ$4)+(INDEX(Assumptions!$C$24:$G$24,1,AQ$4)-IF(AQ$4=1,0,INDEX(Assumptions!$C$24:$G$24,1,MAX(1,AQ$4-1))))*(AQ$5-(AQ$6+1)/2)/AQ$6)</f>
        <v>1152.5</v>
      </c>
      <c r="AR18" s="34">
        <f>(INDEX(Assumptions!$C$24:$G$24,1,AR$4)+(INDEX(Assumptions!$C$24:$G$24,1,AR$4)-IF(AR$4=1,0,INDEX(Assumptions!$C$24:$G$24,1,MAX(1,AR$4-1))))*(AR$5-(AR$6+1)/2)/AR$6)</f>
        <v>1252.5</v>
      </c>
      <c r="AS18" s="34">
        <f>(INDEX(Assumptions!$C$24:$G$24,1,AS$4)+(INDEX(Assumptions!$C$24:$G$24,1,AS$4)-IF(AS$4=1,0,INDEX(Assumptions!$C$24:$G$24,1,MAX(1,AS$4-1))))*(AS$5-(AS$6+1)/2)/AS$6)</f>
        <v>1297.5</v>
      </c>
      <c r="AT18" s="34">
        <f>(INDEX(Assumptions!$C$24:$G$24,1,AT$4)+(INDEX(Assumptions!$C$24:$G$24,1,AT$4)-IF(AT$4=1,0,INDEX(Assumptions!$C$24:$G$24,1,MAX(1,AT$4-1))))*(AT$5-(AT$6+1)/2)/AT$6)</f>
        <v>1342.5</v>
      </c>
      <c r="AU18" s="34">
        <f>(INDEX(Assumptions!$C$24:$G$24,1,AU$4)+(INDEX(Assumptions!$C$24:$G$24,1,AU$4)-IF(AU$4=1,0,INDEX(Assumptions!$C$24:$G$24,1,MAX(1,AU$4-1))))*(AU$5-(AU$6+1)/2)/AU$6)</f>
        <v>1387.5</v>
      </c>
      <c r="AV18" s="34">
        <f>(INDEX(Assumptions!$C$24:$G$24,1,AV$4)+(INDEX(Assumptions!$C$24:$G$24,1,AV$4)-IF(AV$4=1,0,INDEX(Assumptions!$C$24:$G$24,1,MAX(1,AV$4-1))))*(AV$5-(AV$6+1)/2)/AV$6)</f>
        <v>1432.5</v>
      </c>
      <c r="AW18" s="34">
        <f>(INDEX(Assumptions!$C$24:$G$24,1,AW$4)+(INDEX(Assumptions!$C$24:$G$24,1,AW$4)-IF(AW$4=1,0,INDEX(Assumptions!$C$24:$G$24,1,MAX(1,AW$4-1))))*(AW$5-(AW$6+1)/2)/AW$6)</f>
        <v>1477.5</v>
      </c>
      <c r="AX18" s="34">
        <f>(INDEX(Assumptions!$C$24:$G$24,1,AX$4)+(INDEX(Assumptions!$C$24:$G$24,1,AX$4)-IF(AX$4=1,0,INDEX(Assumptions!$C$24:$G$24,1,MAX(1,AX$4-1))))*(AX$5-(AX$6+1)/2)/AX$6)</f>
        <v>1522.5</v>
      </c>
      <c r="AY18" s="34">
        <f>(INDEX(Assumptions!$C$24:$G$24,1,AY$4)+(INDEX(Assumptions!$C$24:$G$24,1,AY$4)-IF(AY$4=1,0,INDEX(Assumptions!$C$24:$G$24,1,MAX(1,AY$4-1))))*(AY$5-(AY$6+1)/2)/AY$6)</f>
        <v>1567.5</v>
      </c>
      <c r="AZ18" s="34">
        <f>(INDEX(Assumptions!$C$24:$G$24,1,AZ$4)+(INDEX(Assumptions!$C$24:$G$24,1,AZ$4)-IF(AZ$4=1,0,INDEX(Assumptions!$C$24:$G$24,1,MAX(1,AZ$4-1))))*(AZ$5-(AZ$6+1)/2)/AZ$6)</f>
        <v>1612.5</v>
      </c>
      <c r="BA18" s="34">
        <f>(INDEX(Assumptions!$C$24:$G$24,1,BA$4)+(INDEX(Assumptions!$C$24:$G$24,1,BA$4)-IF(BA$4=1,0,INDEX(Assumptions!$C$24:$G$24,1,MAX(1,BA$4-1))))*(BA$5-(BA$6+1)/2)/BA$6)</f>
        <v>1657.5</v>
      </c>
      <c r="BB18" s="34">
        <f>(INDEX(Assumptions!$C$24:$G$24,1,BB$4)+(INDEX(Assumptions!$C$24:$G$24,1,BB$4)-IF(BB$4=1,0,INDEX(Assumptions!$C$24:$G$24,1,MAX(1,BB$4-1))))*(BB$5-(BB$6+1)/2)/BB$6)</f>
        <v>1702.5</v>
      </c>
      <c r="BC18" s="34">
        <f>(INDEX(Assumptions!$C$24:$G$24,1,BC$4)+(INDEX(Assumptions!$C$24:$G$24,1,BC$4)-IF(BC$4=1,0,INDEX(Assumptions!$C$24:$G$24,1,MAX(1,BC$4-1))))*(BC$5-(BC$6+1)/2)/BC$6)</f>
        <v>1747.5</v>
      </c>
    </row>
    <row r="19">
      <c r="A19" s="4" t="inlineStr">
        <is>
          <t>Installer SaaS</t>
        </is>
      </c>
      <c r="B19" s="2" t="inlineStr">
        <is>
          <t>₹ lakh</t>
        </is>
      </c>
      <c r="C19" s="34">
        <f>C18*Assumptions!$C$47/100000</f>
        <v>0.26991</v>
      </c>
      <c r="D19" s="34">
        <f>D18*Assumptions!$C$47/100000</f>
        <v>0.35988</v>
      </c>
      <c r="E19" s="34">
        <f>E18*Assumptions!$C$47/100000</f>
        <v>0.44985</v>
      </c>
      <c r="F19" s="34">
        <f>F18*Assumptions!$C$47/100000</f>
        <v>0.53982</v>
      </c>
      <c r="G19" s="34">
        <f>G18*Assumptions!$C$47/100000</f>
        <v>0.62979</v>
      </c>
      <c r="H19" s="34">
        <f>H18*Assumptions!$C$47/100000</f>
        <v>3.13020625</v>
      </c>
      <c r="I19" s="34">
        <f>I18*Assumptions!$C$47/100000</f>
        <v>3.54256875</v>
      </c>
      <c r="J19" s="34">
        <f>J18*Assumptions!$C$47/100000</f>
        <v>3.95493125</v>
      </c>
      <c r="K19" s="34">
        <f>K18*Assumptions!$C$47/100000</f>
        <v>4.36729375</v>
      </c>
      <c r="L19" s="34">
        <f>L18*Assumptions!$C$47/100000</f>
        <v>4.77965625</v>
      </c>
      <c r="M19" s="34">
        <f>M18*Assumptions!$C$47/100000</f>
        <v>5.19201875</v>
      </c>
      <c r="N19" s="34">
        <f>N18*Assumptions!$C$47/100000</f>
        <v>5.60438125</v>
      </c>
      <c r="O19" s="34">
        <f>O18*Assumptions!$C$47/100000</f>
        <v>6.01674375</v>
      </c>
      <c r="P19" s="34">
        <f>P18*Assumptions!$C$47/100000</f>
        <v>6.42910625</v>
      </c>
      <c r="Q19" s="34">
        <f>Q18*Assumptions!$C$47/100000</f>
        <v>6.84146875</v>
      </c>
      <c r="R19" s="34">
        <f>R18*Assumptions!$C$47/100000</f>
        <v>7.25383125</v>
      </c>
      <c r="S19" s="34">
        <f>S18*Assumptions!$C$47/100000</f>
        <v>7.66619375</v>
      </c>
      <c r="T19" s="34">
        <f>T18*Assumptions!$C$47/100000</f>
        <v>11.24625</v>
      </c>
      <c r="U19" s="34">
        <f>U18*Assumptions!$C$47/100000</f>
        <v>12.14595</v>
      </c>
      <c r="V19" s="34">
        <f>V18*Assumptions!$C$47/100000</f>
        <v>13.04565</v>
      </c>
      <c r="W19" s="34">
        <f>W18*Assumptions!$C$47/100000</f>
        <v>13.94535</v>
      </c>
      <c r="X19" s="34">
        <f>X18*Assumptions!$C$47/100000</f>
        <v>14.84505</v>
      </c>
      <c r="Y19" s="34">
        <f>Y18*Assumptions!$C$47/100000</f>
        <v>15.74475</v>
      </c>
      <c r="Z19" s="34">
        <f>Z18*Assumptions!$C$47/100000</f>
        <v>16.64445</v>
      </c>
      <c r="AA19" s="34">
        <f>AA18*Assumptions!$C$47/100000</f>
        <v>17.54415</v>
      </c>
      <c r="AB19" s="34">
        <f>AB18*Assumptions!$C$47/100000</f>
        <v>18.44385</v>
      </c>
      <c r="AC19" s="34">
        <f>AC18*Assumptions!$C$47/100000</f>
        <v>19.34355</v>
      </c>
      <c r="AD19" s="34">
        <f>AD18*Assumptions!$C$47/100000</f>
        <v>20.24325</v>
      </c>
      <c r="AE19" s="34">
        <f>AE18*Assumptions!$C$47/100000</f>
        <v>21.14295</v>
      </c>
      <c r="AF19" s="34">
        <f>AF18*Assumptions!$C$47/100000</f>
        <v>23.017325</v>
      </c>
      <c r="AG19" s="34">
        <f>AG18*Assumptions!$C$47/100000</f>
        <v>24.066975</v>
      </c>
      <c r="AH19" s="34">
        <f>AH18*Assumptions!$C$47/100000</f>
        <v>25.116625</v>
      </c>
      <c r="AI19" s="34">
        <f>AI18*Assumptions!$C$47/100000</f>
        <v>26.166275</v>
      </c>
      <c r="AJ19" s="34">
        <f>AJ18*Assumptions!$C$47/100000</f>
        <v>27.215925</v>
      </c>
      <c r="AK19" s="34">
        <f>AK18*Assumptions!$C$47/100000</f>
        <v>28.265575</v>
      </c>
      <c r="AL19" s="34">
        <f>AL18*Assumptions!$C$47/100000</f>
        <v>29.315225</v>
      </c>
      <c r="AM19" s="34">
        <f>AM18*Assumptions!$C$47/100000</f>
        <v>30.364875</v>
      </c>
      <c r="AN19" s="34">
        <f>AN18*Assumptions!$C$47/100000</f>
        <v>31.414525</v>
      </c>
      <c r="AO19" s="34">
        <f>AO18*Assumptions!$C$47/100000</f>
        <v>32.464175</v>
      </c>
      <c r="AP19" s="34">
        <f>AP18*Assumptions!$C$47/100000</f>
        <v>33.513825</v>
      </c>
      <c r="AQ19" s="34">
        <f>AQ18*Assumptions!$C$47/100000</f>
        <v>34.563475</v>
      </c>
      <c r="AR19" s="34">
        <f>AR18*Assumptions!$C$47/100000</f>
        <v>37.562475</v>
      </c>
      <c r="AS19" s="34">
        <f>AS18*Assumptions!$C$47/100000</f>
        <v>38.912025</v>
      </c>
      <c r="AT19" s="34">
        <f>AT18*Assumptions!$C$47/100000</f>
        <v>40.261575</v>
      </c>
      <c r="AU19" s="34">
        <f>AU18*Assumptions!$C$47/100000</f>
        <v>41.611125</v>
      </c>
      <c r="AV19" s="34">
        <f>AV18*Assumptions!$C$47/100000</f>
        <v>42.960675</v>
      </c>
      <c r="AW19" s="34">
        <f>AW18*Assumptions!$C$47/100000</f>
        <v>44.310225</v>
      </c>
      <c r="AX19" s="34">
        <f>AX18*Assumptions!$C$47/100000</f>
        <v>45.659775</v>
      </c>
      <c r="AY19" s="34">
        <f>AY18*Assumptions!$C$47/100000</f>
        <v>47.009325</v>
      </c>
      <c r="AZ19" s="34">
        <f>AZ18*Assumptions!$C$47/100000</f>
        <v>48.358875</v>
      </c>
      <c r="BA19" s="34">
        <f>BA18*Assumptions!$C$47/100000</f>
        <v>49.708425</v>
      </c>
      <c r="BB19" s="34">
        <f>BB18*Assumptions!$C$47/100000</f>
        <v>51.057975</v>
      </c>
      <c r="BC19" s="34">
        <f>BC18*Assumptions!$C$47/100000</f>
        <v>52.407525</v>
      </c>
    </row>
    <row r="20">
      <c r="A20" s="4" t="inlineStr">
        <is>
          <t>State / DISCOM analytics</t>
        </is>
      </c>
      <c r="B20" s="2" t="inlineStr">
        <is>
          <t>₹ lakh</t>
        </is>
      </c>
      <c r="C20" s="34">
        <f>INDEX(Assumptions!$C$25:$G$25,1,C$4)*Assumptions!$C$48/12</f>
        <v>0.0</v>
      </c>
      <c r="D20" s="34">
        <f>INDEX(Assumptions!$C$25:$G$25,1,D$4)*Assumptions!$C$48/12</f>
        <v>0.0</v>
      </c>
      <c r="E20" s="34">
        <f>INDEX(Assumptions!$C$25:$G$25,1,E$4)*Assumptions!$C$48/12</f>
        <v>0.0</v>
      </c>
      <c r="F20" s="34">
        <f>INDEX(Assumptions!$C$25:$G$25,1,F$4)*Assumptions!$C$48/12</f>
        <v>0.0</v>
      </c>
      <c r="G20" s="34">
        <f>INDEX(Assumptions!$C$25:$G$25,1,G$4)*Assumptions!$C$48/12</f>
        <v>0.0</v>
      </c>
      <c r="H20" s="34">
        <f>INDEX(Assumptions!$C$25:$G$25,1,H$4)*Assumptions!$C$48/12</f>
        <v>0.0</v>
      </c>
      <c r="I20" s="34">
        <f>INDEX(Assumptions!$C$25:$G$25,1,I$4)*Assumptions!$C$48/12</f>
        <v>0.0</v>
      </c>
      <c r="J20" s="34">
        <f>INDEX(Assumptions!$C$25:$G$25,1,J$4)*Assumptions!$C$48/12</f>
        <v>0.0</v>
      </c>
      <c r="K20" s="34">
        <f>INDEX(Assumptions!$C$25:$G$25,1,K$4)*Assumptions!$C$48/12</f>
        <v>0.0</v>
      </c>
      <c r="L20" s="34">
        <f>INDEX(Assumptions!$C$25:$G$25,1,L$4)*Assumptions!$C$48/12</f>
        <v>0.0</v>
      </c>
      <c r="M20" s="34">
        <f>INDEX(Assumptions!$C$25:$G$25,1,M$4)*Assumptions!$C$48/12</f>
        <v>0.0</v>
      </c>
      <c r="N20" s="34">
        <f>INDEX(Assumptions!$C$25:$G$25,1,N$4)*Assumptions!$C$48/12</f>
        <v>0.0</v>
      </c>
      <c r="O20" s="34">
        <f>INDEX(Assumptions!$C$25:$G$25,1,O$4)*Assumptions!$C$48/12</f>
        <v>0.0</v>
      </c>
      <c r="P20" s="34">
        <f>INDEX(Assumptions!$C$25:$G$25,1,P$4)*Assumptions!$C$48/12</f>
        <v>0.0</v>
      </c>
      <c r="Q20" s="34">
        <f>INDEX(Assumptions!$C$25:$G$25,1,Q$4)*Assumptions!$C$48/12</f>
        <v>0.0</v>
      </c>
      <c r="R20" s="34">
        <f>INDEX(Assumptions!$C$25:$G$25,1,R$4)*Assumptions!$C$48/12</f>
        <v>0.0</v>
      </c>
      <c r="S20" s="34">
        <f>INDEX(Assumptions!$C$25:$G$25,1,S$4)*Assumptions!$C$48/12</f>
        <v>0.0</v>
      </c>
      <c r="T20" s="34">
        <f>INDEX(Assumptions!$C$25:$G$25,1,T$4)*Assumptions!$C$48/12</f>
        <v>6.666666666666667</v>
      </c>
      <c r="U20" s="34">
        <f>INDEX(Assumptions!$C$25:$G$25,1,U$4)*Assumptions!$C$48/12</f>
        <v>6.666666666666667</v>
      </c>
      <c r="V20" s="34">
        <f>INDEX(Assumptions!$C$25:$G$25,1,V$4)*Assumptions!$C$48/12</f>
        <v>6.666666666666667</v>
      </c>
      <c r="W20" s="34">
        <f>INDEX(Assumptions!$C$25:$G$25,1,W$4)*Assumptions!$C$48/12</f>
        <v>6.666666666666667</v>
      </c>
      <c r="X20" s="34">
        <f>INDEX(Assumptions!$C$25:$G$25,1,X$4)*Assumptions!$C$48/12</f>
        <v>6.666666666666667</v>
      </c>
      <c r="Y20" s="34">
        <f>INDEX(Assumptions!$C$25:$G$25,1,Y$4)*Assumptions!$C$48/12</f>
        <v>6.666666666666667</v>
      </c>
      <c r="Z20" s="34">
        <f>INDEX(Assumptions!$C$25:$G$25,1,Z$4)*Assumptions!$C$48/12</f>
        <v>6.666666666666667</v>
      </c>
      <c r="AA20" s="34">
        <f>INDEX(Assumptions!$C$25:$G$25,1,AA$4)*Assumptions!$C$48/12</f>
        <v>6.666666666666667</v>
      </c>
      <c r="AB20" s="34">
        <f>INDEX(Assumptions!$C$25:$G$25,1,AB$4)*Assumptions!$C$48/12</f>
        <v>6.666666666666667</v>
      </c>
      <c r="AC20" s="34">
        <f>INDEX(Assumptions!$C$25:$G$25,1,AC$4)*Assumptions!$C$48/12</f>
        <v>6.666666666666667</v>
      </c>
      <c r="AD20" s="34">
        <f>INDEX(Assumptions!$C$25:$G$25,1,AD$4)*Assumptions!$C$48/12</f>
        <v>6.666666666666667</v>
      </c>
      <c r="AE20" s="34">
        <f>INDEX(Assumptions!$C$25:$G$25,1,AE$4)*Assumptions!$C$48/12</f>
        <v>6.666666666666667</v>
      </c>
      <c r="AF20" s="34">
        <f>INDEX(Assumptions!$C$25:$G$25,1,AF$4)*Assumptions!$C$48/12</f>
        <v>13.333333333333334</v>
      </c>
      <c r="AG20" s="34">
        <f>INDEX(Assumptions!$C$25:$G$25,1,AG$4)*Assumptions!$C$48/12</f>
        <v>13.333333333333334</v>
      </c>
      <c r="AH20" s="34">
        <f>INDEX(Assumptions!$C$25:$G$25,1,AH$4)*Assumptions!$C$48/12</f>
        <v>13.333333333333334</v>
      </c>
      <c r="AI20" s="34">
        <f>INDEX(Assumptions!$C$25:$G$25,1,AI$4)*Assumptions!$C$48/12</f>
        <v>13.333333333333334</v>
      </c>
      <c r="AJ20" s="34">
        <f>INDEX(Assumptions!$C$25:$G$25,1,AJ$4)*Assumptions!$C$48/12</f>
        <v>13.333333333333334</v>
      </c>
      <c r="AK20" s="34">
        <f>INDEX(Assumptions!$C$25:$G$25,1,AK$4)*Assumptions!$C$48/12</f>
        <v>13.333333333333334</v>
      </c>
      <c r="AL20" s="34">
        <f>INDEX(Assumptions!$C$25:$G$25,1,AL$4)*Assumptions!$C$48/12</f>
        <v>13.333333333333334</v>
      </c>
      <c r="AM20" s="34">
        <f>INDEX(Assumptions!$C$25:$G$25,1,AM$4)*Assumptions!$C$48/12</f>
        <v>13.333333333333334</v>
      </c>
      <c r="AN20" s="34">
        <f>INDEX(Assumptions!$C$25:$G$25,1,AN$4)*Assumptions!$C$48/12</f>
        <v>13.333333333333334</v>
      </c>
      <c r="AO20" s="34">
        <f>INDEX(Assumptions!$C$25:$G$25,1,AO$4)*Assumptions!$C$48/12</f>
        <v>13.333333333333334</v>
      </c>
      <c r="AP20" s="34">
        <f>INDEX(Assumptions!$C$25:$G$25,1,AP$4)*Assumptions!$C$48/12</f>
        <v>13.333333333333334</v>
      </c>
      <c r="AQ20" s="34">
        <f>INDEX(Assumptions!$C$25:$G$25,1,AQ$4)*Assumptions!$C$48/12</f>
        <v>13.333333333333334</v>
      </c>
      <c r="AR20" s="34">
        <f>INDEX(Assumptions!$C$25:$G$25,1,AR$4)*Assumptions!$C$48/12</f>
        <v>20.0</v>
      </c>
      <c r="AS20" s="34">
        <f>INDEX(Assumptions!$C$25:$G$25,1,AS$4)*Assumptions!$C$48/12</f>
        <v>20.0</v>
      </c>
      <c r="AT20" s="34">
        <f>INDEX(Assumptions!$C$25:$G$25,1,AT$4)*Assumptions!$C$48/12</f>
        <v>20.0</v>
      </c>
      <c r="AU20" s="34">
        <f>INDEX(Assumptions!$C$25:$G$25,1,AU$4)*Assumptions!$C$48/12</f>
        <v>20.0</v>
      </c>
      <c r="AV20" s="34">
        <f>INDEX(Assumptions!$C$25:$G$25,1,AV$4)*Assumptions!$C$48/12</f>
        <v>20.0</v>
      </c>
      <c r="AW20" s="34">
        <f>INDEX(Assumptions!$C$25:$G$25,1,AW$4)*Assumptions!$C$48/12</f>
        <v>20.0</v>
      </c>
      <c r="AX20" s="34">
        <f>INDEX(Assumptions!$C$25:$G$25,1,AX$4)*Assumptions!$C$48/12</f>
        <v>20.0</v>
      </c>
      <c r="AY20" s="34">
        <f>INDEX(Assumptions!$C$25:$G$25,1,AY$4)*Assumptions!$C$48/12</f>
        <v>20.0</v>
      </c>
      <c r="AZ20" s="34">
        <f>INDEX(Assumptions!$C$25:$G$25,1,AZ$4)*Assumptions!$C$48/12</f>
        <v>20.0</v>
      </c>
      <c r="BA20" s="34">
        <f>INDEX(Assumptions!$C$25:$G$25,1,BA$4)*Assumptions!$C$48/12</f>
        <v>20.0</v>
      </c>
      <c r="BB20" s="34">
        <f>INDEX(Assumptions!$C$25:$G$25,1,BB$4)*Assumptions!$C$48/12</f>
        <v>20.0</v>
      </c>
      <c r="BC20" s="34">
        <f>INDEX(Assumptions!$C$25:$G$25,1,BC$4)*Assumptions!$C$48/12</f>
        <v>20.0</v>
      </c>
    </row>
    <row r="21">
      <c r="A21" s="3" t="inlineStr">
        <is>
          <t>Total revenue</t>
        </is>
      </c>
      <c r="B21" s="2" t="inlineStr">
        <is>
          <t>₹ lakh</t>
        </is>
      </c>
      <c r="C21" s="35">
        <f>C15+C16+C17+C19+C20</f>
        <v>2.2063900000000003</v>
      </c>
      <c r="D21" s="35">
        <f>D15+D16+D17+D19+D20</f>
        <v>3.7487200000000005</v>
      </c>
      <c r="E21" s="35">
        <f>E15+E16+E17+E19+E20</f>
        <v>6.281373712000001</v>
      </c>
      <c r="F21" s="35">
        <f>F15+F16+F17+F19+F20</f>
        <v>8.566446496000001</v>
      </c>
      <c r="G21" s="35">
        <f>G15+G16+G17+G19+G20</f>
        <v>10.851519280000002</v>
      </c>
      <c r="H21" s="35">
        <f>H15+H16+H17+H19+H20</f>
        <v>15.137692297207042</v>
      </c>
      <c r="I21" s="35">
        <f>I15+I16+I17+I19+I20</f>
        <v>17.52548760755964</v>
      </c>
      <c r="J21" s="35">
        <f>J15+J16+J17+J19+J20</f>
        <v>19.905771827598265</v>
      </c>
      <c r="K21" s="35">
        <f>K15+K16+K17+K19+K20</f>
        <v>22.563016526035554</v>
      </c>
      <c r="L21" s="35">
        <f>L15+L16+L17+L19+L20</f>
        <v>25.53620044161584</v>
      </c>
      <c r="M21" s="35">
        <f>M15+M16+M17+M19+M20</f>
        <v>28.869788085215944</v>
      </c>
      <c r="N21" s="35">
        <f>N15+N16+N17+N19+N20</f>
        <v>32.61450179396544</v>
      </c>
      <c r="O21" s="35">
        <f>O15+O16+O17+O19+O20</f>
        <v>36.8282024423731</v>
      </c>
      <c r="P21" s="35">
        <f>P15+P16+P17+P19+P20</f>
        <v>41.57689410257646</v>
      </c>
      <c r="Q21" s="35">
        <f>Q15+Q16+Q17+Q19+Q20</f>
        <v>46.93587009801265</v>
      </c>
      <c r="R21" s="35">
        <f>R15+R16+R17+R19+R20</f>
        <v>52.99102034987341</v>
      </c>
      <c r="S21" s="35">
        <f>S15+S16+S17+S19+S20</f>
        <v>59.84032271629421</v>
      </c>
      <c r="T21" s="35">
        <f>T15+T16+T17+T19+T20</f>
        <v>74.57064435536057</v>
      </c>
      <c r="U21" s="35">
        <f>U15+U16+U17+U19+U20</f>
        <v>80.6456359144625</v>
      </c>
      <c r="V21" s="35">
        <f>V15+V16+V17+V19+V20</f>
        <v>85.95265459153586</v>
      </c>
      <c r="W21" s="35">
        <f>W15+W16+W17+W19+W20</f>
        <v>91.57381704094236</v>
      </c>
      <c r="X21" s="35">
        <f>X15+X16+X17+X19+X20</f>
        <v>97.53151472491304</v>
      </c>
      <c r="Y21" s="35">
        <f>Y15+Y16+Y17+Y19+Y20</f>
        <v>103.84973511879376</v>
      </c>
      <c r="Z21" s="35">
        <f>Z15+Z16+Z17+Z19+Z20</f>
        <v>110.55417547127577</v>
      </c>
      <c r="AA21" s="35">
        <f>AA15+AA16+AA17+AA19+AA20</f>
        <v>117.67236467319591</v>
      </c>
      <c r="AB21" s="35">
        <f>AB15+AB16+AB17+AB19+AB20</f>
        <v>125.23379381287366</v>
      </c>
      <c r="AC21" s="35">
        <f>AC15+AC16+AC17+AC19+AC20</f>
        <v>133.27005603714136</v>
      </c>
      <c r="AD21" s="35">
        <f>AD15+AD16+AD17+AD19+AD20</f>
        <v>141.81499638134778</v>
      </c>
      <c r="AE21" s="35">
        <f>AE15+AE16+AE17+AE19+AE20</f>
        <v>150.9048722789145</v>
      </c>
      <c r="AF21" s="35">
        <f>AF15+AF16+AF17+AF19+AF20</f>
        <v>166.4533215836366</v>
      </c>
      <c r="AG21" s="35">
        <f>AG15+AG16+AG17+AG19+AG20</f>
        <v>175.5431957189147</v>
      </c>
      <c r="AH21" s="35">
        <f>AH15+AH16+AH17+AH19+AH20</f>
        <v>184.5649293452439</v>
      </c>
      <c r="AI21" s="35">
        <f>AI15+AI16+AI17+AI19+AI20</f>
        <v>194.04672369962182</v>
      </c>
      <c r="AJ21" s="35">
        <f>AJ15+AJ16+AJ17+AJ19+AJ20</f>
        <v>204.01512841240873</v>
      </c>
      <c r="AK21" s="35">
        <f>AK15+AK16+AK17+AK19+AK20</f>
        <v>214.49822526576546</v>
      </c>
      <c r="AL21" s="35">
        <f>AL15+AL16+AL17+AL19+AL20</f>
        <v>225.52571661255573</v>
      </c>
      <c r="AM21" s="35">
        <f>AM15+AM16+AM17+AM19+AM20</f>
        <v>237.1290188978028</v>
      </c>
      <c r="AN21" s="35">
        <f>AN15+AN16+AN17+AN19+AN20</f>
        <v>249.3413615771915</v>
      </c>
      <c r="AO21" s="35">
        <f>AO15+AO16+AO17+AO19+AO20</f>
        <v>262.19789174403877</v>
      </c>
      <c r="AP21" s="35">
        <f>AP15+AP16+AP17+AP19+AP20</f>
        <v>275.73578479418404</v>
      </c>
      <c r="AQ21" s="35">
        <f>AQ15+AQ16+AQ17+AQ19+AQ20</f>
        <v>289.9943614772398</v>
      </c>
      <c r="AR21" s="35">
        <f>AR15+AR16+AR17+AR19+AR20</f>
        <v>307.33380492225155</v>
      </c>
      <c r="AS21" s="35">
        <f>AS15+AS16+AS17+AS19+AS20</f>
        <v>317.8527778144813</v>
      </c>
      <c r="AT21" s="35">
        <f>AT15+AT16+AT17+AT19+AT20</f>
        <v>326.29949343550555</v>
      </c>
      <c r="AU21" s="35">
        <f>AU15+AU16+AU17+AU19+AU20</f>
        <v>334.9407313914822</v>
      </c>
      <c r="AV21" s="35">
        <f>AV15+AV16+AV17+AV19+AV20</f>
        <v>343.7818232388154</v>
      </c>
      <c r="AW21" s="35">
        <f>AW15+AW16+AW17+AW19+AW20</f>
        <v>352.82824666362103</v>
      </c>
      <c r="AX21" s="35">
        <f>AX15+AX16+AX17+AX19+AX20</f>
        <v>362.08562948692276</v>
      </c>
      <c r="AY21" s="35">
        <f>AY15+AY16+AY17+AY19+AY20</f>
        <v>371.5597537796163</v>
      </c>
      <c r="AZ21" s="35">
        <f>AZ15+AZ16+AZ17+AZ19+AZ20</f>
        <v>381.25656009021844</v>
      </c>
      <c r="BA21" s="35">
        <f>BA15+BA16+BA17+BA19+BA20</f>
        <v>391.1821517884935</v>
      </c>
      <c r="BB21" s="35">
        <f>BB15+BB16+BB17+BB19+BB20</f>
        <v>401.342799528139</v>
      </c>
      <c r="BC21" s="35">
        <f>BC15+BC16+BC17+BC19+BC20</f>
        <v>411.7449458317674</v>
      </c>
    </row>
    <row r="22">
      <c r="A22" s="13" t="inlineStr">
        <is>
          <t>Variable costs</t>
        </is>
      </c>
      <c r="B22" s="14" t="n"/>
    </row>
    <row r="23">
      <c r="A23" s="4" t="inlineStr">
        <is>
          <t>Customer acquisition</t>
        </is>
      </c>
      <c r="B23" s="2" t="inlineStr">
        <is>
          <t>₹ lakh</t>
        </is>
      </c>
      <c r="C23" s="34">
        <f>C10*INDEX(Assumptions!$C$23:$G$23,1,C$4)/100000</f>
        <v>2.464</v>
      </c>
      <c r="D23" s="34">
        <f>D10*INDEX(Assumptions!$C$23:$G$23,1,D$4)/100000</f>
        <v>4.312</v>
      </c>
      <c r="E23" s="34">
        <f>E10*INDEX(Assumptions!$C$23:$G$23,1,E$4)/100000</f>
        <v>6.16</v>
      </c>
      <c r="F23" s="34">
        <f>F10*INDEX(Assumptions!$C$23:$G$23,1,F$4)/100000</f>
        <v>8.008</v>
      </c>
      <c r="G23" s="34">
        <f>G10*INDEX(Assumptions!$C$23:$G$23,1,G$4)/100000</f>
        <v>9.856</v>
      </c>
      <c r="H23" s="34">
        <f>H10*INDEX(Assumptions!$C$23:$G$23,1,H$4)/100000</f>
        <v>9.556642885805186</v>
      </c>
      <c r="I23" s="34">
        <f>I10*INDEX(Assumptions!$C$23:$G$23,1,I$4)/100000</f>
        <v>10.901621376863234</v>
      </c>
      <c r="J23" s="34">
        <f>J10*INDEX(Assumptions!$C$23:$G$23,1,J$4)/100000</f>
        <v>12.435888843456402</v>
      </c>
      <c r="K23" s="34">
        <f>K10*INDEX(Assumptions!$C$23:$G$23,1,K$4)/100000</f>
        <v>14.186085351948126</v>
      </c>
      <c r="L23" s="34">
        <f>L10*INDEX(Assumptions!$C$23:$G$23,1,L$4)/100000</f>
        <v>16.18260022633188</v>
      </c>
      <c r="M23" s="34">
        <f>M10*INDEX(Assumptions!$C$23:$G$23,1,M$4)/100000</f>
        <v>18.460099709559184</v>
      </c>
      <c r="N23" s="34">
        <f>N10*INDEX(Assumptions!$C$23:$G$23,1,N$4)/100000</f>
        <v>21.05812888662759</v>
      </c>
      <c r="O23" s="34">
        <f>O10*INDEX(Assumptions!$C$23:$G$23,1,O$4)/100000</f>
        <v>24.0217983208503</v>
      </c>
      <c r="P23" s="34">
        <f>P10*INDEX(Assumptions!$C$23:$G$23,1,P$4)/100000</f>
        <v>27.40256732563008</v>
      </c>
      <c r="Q23" s="34">
        <f>Q10*INDEX(Assumptions!$C$23:$G$23,1,Q$4)/100000</f>
        <v>31.25913747198211</v>
      </c>
      <c r="R23" s="34">
        <f>R10*INDEX(Assumptions!$C$23:$G$23,1,R$4)/100000</f>
        <v>35.65847184611603</v>
      </c>
      <c r="S23" s="34">
        <f>S10*INDEX(Assumptions!$C$23:$G$23,1,S$4)/100000</f>
        <v>40.676957754830156</v>
      </c>
      <c r="T23" s="34">
        <f>T10*INDEX(Assumptions!$C$23:$G$23,1,T$4)/100000</f>
        <v>38.44969403384617</v>
      </c>
      <c r="U23" s="34">
        <f>U10*INDEX(Assumptions!$C$23:$G$23,1,U$4)/100000</f>
        <v>41.190301830531546</v>
      </c>
      <c r="V23" s="34">
        <f>V10*INDEX(Assumptions!$C$23:$G$23,1,V$4)/100000</f>
        <v>44.12625399299155</v>
      </c>
      <c r="W23" s="34">
        <f>W10*INDEX(Assumptions!$C$23:$G$23,1,W$4)/100000</f>
        <v>47.271474228691254</v>
      </c>
      <c r="X23" s="34">
        <f>X10*INDEX(Assumptions!$C$23:$G$23,1,X$4)/100000</f>
        <v>50.64087869567911</v>
      </c>
      <c r="Y23" s="34">
        <f>Y10*INDEX(Assumptions!$C$23:$G$23,1,Y$4)/100000</f>
        <v>54.250446742233585</v>
      </c>
      <c r="Z23" s="34">
        <f>Z10*INDEX(Assumptions!$C$23:$G$23,1,Z$4)/100000</f>
        <v>58.117296688674294</v>
      </c>
      <c r="AA23" s="34">
        <f>AA10*INDEX(Assumptions!$C$23:$G$23,1,AA$4)/100000</f>
        <v>62.25976701072859</v>
      </c>
      <c r="AB23" s="34">
        <f>AB10*INDEX(Assumptions!$C$23:$G$23,1,AB$4)/100000</f>
        <v>66.69750330946742</v>
      </c>
      <c r="AC23" s="34">
        <f>AC10*INDEX(Assumptions!$C$23:$G$23,1,AC$4)/100000</f>
        <v>71.45155148026619</v>
      </c>
      <c r="AD23" s="34">
        <f>AD10*INDEX(Assumptions!$C$23:$G$23,1,AD$4)/100000</f>
        <v>76.54445752263224</v>
      </c>
      <c r="AE23" s="34">
        <f>AE10*INDEX(Assumptions!$C$23:$G$23,1,AE$4)/100000</f>
        <v>82.00037446425802</v>
      </c>
      <c r="AF23" s="34">
        <f>AF10*INDEX(Assumptions!$C$23:$G$23,1,AF$4)/100000</f>
        <v>75.16819400518678</v>
      </c>
      <c r="AG23" s="34">
        <f>AG10*INDEX(Assumptions!$C$23:$G$23,1,AG$4)/100000</f>
        <v>79.50607299404145</v>
      </c>
      <c r="AH23" s="34">
        <f>AH10*INDEX(Assumptions!$C$23:$G$23,1,AH$4)/100000</f>
        <v>84.0942865076364</v>
      </c>
      <c r="AI23" s="34">
        <f>AI10*INDEX(Assumptions!$C$23:$G$23,1,AI$4)/100000</f>
        <v>88.94728109333816</v>
      </c>
      <c r="AJ23" s="34">
        <f>AJ10*INDEX(Assumptions!$C$23:$G$23,1,AJ$4)/100000</f>
        <v>94.08033699386822</v>
      </c>
      <c r="AK23" s="34">
        <f>AK10*INDEX(Assumptions!$C$23:$G$23,1,AK$4)/100000</f>
        <v>99.50961625900294</v>
      </c>
      <c r="AL23" s="34">
        <f>AL10*INDEX(Assumptions!$C$23:$G$23,1,AL$4)/100000</f>
        <v>105.25221363375343</v>
      </c>
      <c r="AM23" s="34">
        <f>AM10*INDEX(Assumptions!$C$23:$G$23,1,AM$4)/100000</f>
        <v>111.32621038323911</v>
      </c>
      <c r="AN23" s="34">
        <f>AN10*INDEX(Assumptions!$C$23:$G$23,1,AN$4)/100000</f>
        <v>117.75073122375314</v>
      </c>
      <c r="AO23" s="34">
        <f>AO10*INDEX(Assumptions!$C$23:$G$23,1,AO$4)/100000</f>
        <v>124.54600453925254</v>
      </c>
      <c r="AP23" s="34">
        <f>AP10*INDEX(Assumptions!$C$23:$G$23,1,AP$4)/100000</f>
        <v>131.7334260728774</v>
      </c>
      <c r="AQ23" s="34">
        <f>AQ10*INDEX(Assumptions!$C$23:$G$23,1,AQ$4)/100000</f>
        <v>139.3356262940492</v>
      </c>
      <c r="AR23" s="34">
        <f>AR10*INDEX(Assumptions!$C$23:$G$23,1,AR$4)/100000</f>
        <v>132.1427080142825</v>
      </c>
      <c r="AS23" s="34">
        <f>AS10*INDEX(Assumptions!$C$23:$G$23,1,AS$4)/100000</f>
        <v>135.76453530177753</v>
      </c>
      <c r="AT23" s="34">
        <f>AT10*INDEX(Assumptions!$C$23:$G$23,1,AT$4)/100000</f>
        <v>139.48563127460253</v>
      </c>
      <c r="AU23" s="34">
        <f>AU10*INDEX(Assumptions!$C$23:$G$23,1,AU$4)/100000</f>
        <v>143.30871673391565</v>
      </c>
      <c r="AV23" s="34">
        <f>AV10*INDEX(Assumptions!$C$23:$G$23,1,AV$4)/100000</f>
        <v>147.23658705383258</v>
      </c>
      <c r="AW23" s="34">
        <f>AW10*INDEX(Assumptions!$C$23:$G$23,1,AW$4)/100000</f>
        <v>151.2721142253478</v>
      </c>
      <c r="AX23" s="34">
        <f>AX10*INDEX(Assumptions!$C$23:$G$23,1,AX$4)/100000</f>
        <v>155.41824895628727</v>
      </c>
      <c r="AY23" s="34">
        <f>AY10*INDEX(Assumptions!$C$23:$G$23,1,AY$4)/100000</f>
        <v>159.67802282881678</v>
      </c>
      <c r="AZ23" s="34">
        <f>AZ10*INDEX(Assumptions!$C$23:$G$23,1,AZ$4)/100000</f>
        <v>164.05455051608143</v>
      </c>
      <c r="BA23" s="34">
        <f>BA10*INDEX(Assumptions!$C$23:$G$23,1,BA$4)/100000</f>
        <v>168.55103205959912</v>
      </c>
      <c r="BB23" s="34">
        <f>BB10*INDEX(Assumptions!$C$23:$G$23,1,BB$4)/100000</f>
        <v>173.17075520908182</v>
      </c>
      <c r="BC23" s="34">
        <f>BC10*INDEX(Assumptions!$C$23:$G$23,1,BC$4)/100000</f>
        <v>177.91709782637312</v>
      </c>
    </row>
    <row r="24">
      <c r="A24" s="4" t="inlineStr">
        <is>
          <t>AI + infrastructure</t>
        </is>
      </c>
      <c r="B24" s="2" t="inlineStr">
        <is>
          <t>₹ lakh</t>
        </is>
      </c>
      <c r="C24" s="34">
        <f>C10*INDEX(Assumptions!$C$70:$G$70,1,C$4)/100000</f>
        <v>0.10889549999999999</v>
      </c>
      <c r="D24" s="34">
        <f>D10*INDEX(Assumptions!$C$70:$G$70,1,D$4)/100000</f>
        <v>0.190567125</v>
      </c>
      <c r="E24" s="34">
        <f>E10*INDEX(Assumptions!$C$70:$G$70,1,E$4)/100000</f>
        <v>0.27223875</v>
      </c>
      <c r="F24" s="34">
        <f>F10*INDEX(Assumptions!$C$70:$G$70,1,F$4)/100000</f>
        <v>0.353910375</v>
      </c>
      <c r="G24" s="34">
        <f>G10*INDEX(Assumptions!$C$70:$G$70,1,G$4)/100000</f>
        <v>0.43558199999999997</v>
      </c>
      <c r="H24" s="34">
        <f>H10*INDEX(Assumptions!$C$70:$G$70,1,H$4)/100000</f>
        <v>0.1770690695174109</v>
      </c>
      <c r="I24" s="34">
        <f>I10*INDEX(Assumptions!$C$70:$G$70,1,I$4)/100000</f>
        <v>0.20198933626571833</v>
      </c>
      <c r="J24" s="34">
        <f>J10*INDEX(Assumptions!$C$70:$G$70,1,J$4)/100000</f>
        <v>0.23041682026263638</v>
      </c>
      <c r="K24" s="34">
        <f>K10*INDEX(Assumptions!$C$70:$G$70,1,K$4)/100000</f>
        <v>0.2628451186655792</v>
      </c>
      <c r="L24" s="34">
        <f>L10*INDEX(Assumptions!$C$70:$G$70,1,L$4)/100000</f>
        <v>0.299837296285808</v>
      </c>
      <c r="M24" s="34">
        <f>M10*INDEX(Assumptions!$C$70:$G$70,1,M$4)/100000</f>
        <v>0.34203566229574245</v>
      </c>
      <c r="N24" s="34">
        <f>N10*INDEX(Assumptions!$C$70:$G$70,1,N$4)/100000</f>
        <v>0.39017292288605776</v>
      </c>
      <c r="O24" s="34">
        <f>O10*INDEX(Assumptions!$C$70:$G$70,1,O$4)/100000</f>
        <v>0.4450849035204365</v>
      </c>
      <c r="P24" s="34">
        <f>P10*INDEX(Assumptions!$C$70:$G$70,1,P$4)/100000</f>
        <v>0.5077250616892454</v>
      </c>
      <c r="Q24" s="34">
        <f>Q10*INDEX(Assumptions!$C$70:$G$70,1,Q$4)/100000</f>
        <v>0.5791810421525818</v>
      </c>
      <c r="R24" s="34">
        <f>R10*INDEX(Assumptions!$C$70:$G$70,1,R$4)/100000</f>
        <v>0.6606935621276567</v>
      </c>
      <c r="S24" s="34">
        <f>S10*INDEX(Assumptions!$C$70:$G$70,1,S$4)/100000</f>
        <v>0.7536779543311309</v>
      </c>
      <c r="T24" s="34">
        <f>T10*INDEX(Assumptions!$C$70:$G$70,1,T$4)/100000</f>
        <v>0.8073984254488358</v>
      </c>
      <c r="U24" s="34">
        <f>U10*INDEX(Assumptions!$C$70:$G$70,1,U$4)/100000</f>
        <v>0.8649479710412856</v>
      </c>
      <c r="V24" s="34">
        <f>V10*INDEX(Assumptions!$C$70:$G$70,1,V$4)/100000</f>
        <v>0.9265995189333611</v>
      </c>
      <c r="W24" s="34">
        <f>W10*INDEX(Assumptions!$C$70:$G$70,1,W$4)/100000</f>
        <v>0.9926454506320204</v>
      </c>
      <c r="X24" s="34">
        <f>X10*INDEX(Assumptions!$C$70:$G$70,1,X$4)/100000</f>
        <v>1.0633989879410959</v>
      </c>
      <c r="Y24" s="34">
        <f>Y10*INDEX(Assumptions!$C$70:$G$70,1,Y$4)/100000</f>
        <v>1.1391956784108064</v>
      </c>
      <c r="Z24" s="34">
        <f>Z10*INDEX(Assumptions!$C$70:$G$70,1,Z$4)/100000</f>
        <v>1.220394986666806</v>
      </c>
      <c r="AA24" s="34">
        <f>AA10*INDEX(Assumptions!$C$70:$G$70,1,AA$4)/100000</f>
        <v>1.3073819991655529</v>
      </c>
      <c r="AB24" s="34">
        <f>AB10*INDEX(Assumptions!$C$70:$G$70,1,AB$4)/100000</f>
        <v>1.4005692504608387</v>
      </c>
      <c r="AC24" s="34">
        <f>AC10*INDEX(Assumptions!$C$70:$G$70,1,AC$4)/100000</f>
        <v>1.500398679642564</v>
      </c>
      <c r="AD24" s="34">
        <f>AD10*INDEX(Assumptions!$C$70:$G$70,1,AD$4)/100000</f>
        <v>1.6073437262259134</v>
      </c>
      <c r="AE24" s="34">
        <f>AE10*INDEX(Assumptions!$C$70:$G$70,1,AE$4)/100000</f>
        <v>1.7219115754309182</v>
      </c>
      <c r="AF24" s="34">
        <f>AF10*INDEX(Assumptions!$C$70:$G$70,1,AF$4)/100000</f>
        <v>1.8212813174152702</v>
      </c>
      <c r="AG24" s="34">
        <f>AG10*INDEX(Assumptions!$C$70:$G$70,1,AG$4)/100000</f>
        <v>1.9263855847742026</v>
      </c>
      <c r="AH24" s="34">
        <f>AH10*INDEX(Assumptions!$C$70:$G$70,1,AH$4)/100000</f>
        <v>2.037555311055589</v>
      </c>
      <c r="AI24" s="34">
        <f>AI10*INDEX(Assumptions!$C$70:$G$70,1,AI$4)/100000</f>
        <v>2.155140527641293</v>
      </c>
      <c r="AJ24" s="34">
        <f>AJ10*INDEX(Assumptions!$C$70:$G$70,1,AJ$4)/100000</f>
        <v>2.2795114658633624</v>
      </c>
      <c r="AK24" s="34">
        <f>AK10*INDEX(Assumptions!$C$70:$G$70,1,AK$4)/100000</f>
        <v>2.4110597227223427</v>
      </c>
      <c r="AL24" s="34">
        <f>AL10*INDEX(Assumptions!$C$70:$G$70,1,AL$4)/100000</f>
        <v>2.5501994938780705</v>
      </c>
      <c r="AM24" s="34">
        <f>AM10*INDEX(Assumptions!$C$70:$G$70,1,AM$4)/100000</f>
        <v>2.697368877794837</v>
      </c>
      <c r="AN24" s="34">
        <f>AN10*INDEX(Assumptions!$C$70:$G$70,1,AN$4)/100000</f>
        <v>2.853031255147762</v>
      </c>
      <c r="AO24" s="34">
        <f>AO10*INDEX(Assumptions!$C$70:$G$70,1,AO$4)/100000</f>
        <v>3.0176767478330806</v>
      </c>
      <c r="AP24" s="34">
        <f>AP10*INDEX(Assumptions!$C$70:$G$70,1,AP$4)/100000</f>
        <v>3.191823762176353</v>
      </c>
      <c r="AQ24" s="34">
        <f>AQ10*INDEX(Assumptions!$C$70:$G$70,1,AQ$4)/100000</f>
        <v>3.3760206211978034</v>
      </c>
      <c r="AR24" s="34">
        <f>AR10*INDEX(Assumptions!$C$70:$G$70,1,AR$4)/100000</f>
        <v>3.4685521259076597</v>
      </c>
      <c r="AS24" s="34">
        <f>AS10*INDEX(Assumptions!$C$70:$G$70,1,AS$4)/100000</f>
        <v>3.563619776075336</v>
      </c>
      <c r="AT24" s="34">
        <f>AT10*INDEX(Assumptions!$C$70:$G$70,1,AT$4)/100000</f>
        <v>3.6612930835260475</v>
      </c>
      <c r="AU24" s="34">
        <f>AU10*INDEX(Assumptions!$C$70:$G$70,1,AU$4)/100000</f>
        <v>3.761643465296595</v>
      </c>
      <c r="AV24" s="34">
        <f>AV10*INDEX(Assumptions!$C$70:$G$70,1,AV$4)/100000</f>
        <v>3.8647442958544556</v>
      </c>
      <c r="AW24" s="34">
        <f>AW10*INDEX(Assumptions!$C$70:$G$70,1,AW$4)/100000</f>
        <v>3.970670960747719</v>
      </c>
      <c r="AX24" s="34">
        <f>AX10*INDEX(Assumptions!$C$70:$G$70,1,AX$4)/100000</f>
        <v>4.0795009117257575</v>
      </c>
      <c r="AY24" s="34">
        <f>AY10*INDEX(Assumptions!$C$70:$G$70,1,AY$4)/100000</f>
        <v>4.191313723370659</v>
      </c>
      <c r="AZ24" s="34">
        <f>AZ10*INDEX(Assumptions!$C$70:$G$70,1,AZ$4)/100000</f>
        <v>4.306191151280755</v>
      </c>
      <c r="BA24" s="34">
        <f>BA10*INDEX(Assumptions!$C$70:$G$70,1,BA$4)/100000</f>
        <v>4.424217191848858</v>
      </c>
      <c r="BB24" s="34">
        <f>BB10*INDEX(Assumptions!$C$70:$G$70,1,BB$4)/100000</f>
        <v>4.545478143679141</v>
      </c>
      <c r="BC24" s="34">
        <f>BC10*INDEX(Assumptions!$C$70:$G$70,1,BC$4)/100000</f>
        <v>4.670062670686962</v>
      </c>
    </row>
    <row r="25">
      <c r="A25" s="4" t="inlineStr">
        <is>
          <t>Payments + partner ops</t>
        </is>
      </c>
      <c r="B25" s="2" t="inlineStr">
        <is>
          <t>₹ lakh</t>
        </is>
      </c>
      <c r="C25" s="34">
        <f>C21*Assumptions!$C$73</f>
        <v>0.0661917</v>
      </c>
      <c r="D25" s="34">
        <f>D21*Assumptions!$C$73</f>
        <v>0.11246160000000001</v>
      </c>
      <c r="E25" s="34">
        <f>E21*Assumptions!$C$73</f>
        <v>0.18844121136</v>
      </c>
      <c r="F25" s="34">
        <f>F21*Assumptions!$C$73</f>
        <v>0.25699339488</v>
      </c>
      <c r="G25" s="34">
        <f>G21*Assumptions!$C$73</f>
        <v>0.32554557840000004</v>
      </c>
      <c r="H25" s="34">
        <f>H21*Assumptions!$C$73</f>
        <v>0.45413076891621124</v>
      </c>
      <c r="I25" s="34">
        <f>I21*Assumptions!$C$73</f>
        <v>0.5257646282267892</v>
      </c>
      <c r="J25" s="34">
        <f>J21*Assumptions!$C$73</f>
        <v>0.597173154827948</v>
      </c>
      <c r="K25" s="34">
        <f>K21*Assumptions!$C$73</f>
        <v>0.6768904957810666</v>
      </c>
      <c r="L25" s="34">
        <f>L21*Assumptions!$C$73</f>
        <v>0.7660860132484751</v>
      </c>
      <c r="M25" s="34">
        <f>M21*Assumptions!$C$73</f>
        <v>0.8660936425564782</v>
      </c>
      <c r="N25" s="34">
        <f>N21*Assumptions!$C$73</f>
        <v>0.9784350538189631</v>
      </c>
      <c r="O25" s="34">
        <f>O21*Assumptions!$C$73</f>
        <v>1.1048460732711929</v>
      </c>
      <c r="P25" s="34">
        <f>P21*Assumptions!$C$73</f>
        <v>1.2473068230772937</v>
      </c>
      <c r="Q25" s="34">
        <f>Q21*Assumptions!$C$73</f>
        <v>1.4080761029403794</v>
      </c>
      <c r="R25" s="34">
        <f>R21*Assumptions!$C$73</f>
        <v>1.5897306104962021</v>
      </c>
      <c r="S25" s="34">
        <f>S21*Assumptions!$C$73</f>
        <v>1.7952096814888263</v>
      </c>
      <c r="T25" s="34">
        <f>T21*Assumptions!$C$73</f>
        <v>2.2371193306608173</v>
      </c>
      <c r="U25" s="34">
        <f>U21*Assumptions!$C$73</f>
        <v>2.419369077433875</v>
      </c>
      <c r="V25" s="34">
        <f>V21*Assumptions!$C$73</f>
        <v>2.578579637746076</v>
      </c>
      <c r="W25" s="34">
        <f>W21*Assumptions!$C$73</f>
        <v>2.747214511228271</v>
      </c>
      <c r="X25" s="34">
        <f>X21*Assumptions!$C$73</f>
        <v>2.925945441747391</v>
      </c>
      <c r="Y25" s="34">
        <f>Y21*Assumptions!$C$73</f>
        <v>3.1154920535638126</v>
      </c>
      <c r="Z25" s="34">
        <f>Z21*Assumptions!$C$73</f>
        <v>3.3166252641382727</v>
      </c>
      <c r="AA25" s="34">
        <f>AA21*Assumptions!$C$73</f>
        <v>3.530170940195877</v>
      </c>
      <c r="AB25" s="34">
        <f>AB21*Assumptions!$C$73</f>
        <v>3.7570138143862097</v>
      </c>
      <c r="AC25" s="34">
        <f>AC21*Assumptions!$C$73</f>
        <v>3.9981016811142407</v>
      </c>
      <c r="AD25" s="34">
        <f>AD21*Assumptions!$C$73</f>
        <v>4.254449891440434</v>
      </c>
      <c r="AE25" s="34">
        <f>AE21*Assumptions!$C$73</f>
        <v>4.527146168367435</v>
      </c>
      <c r="AF25" s="34">
        <f>AF21*Assumptions!$C$73</f>
        <v>4.9935996475090985</v>
      </c>
      <c r="AG25" s="34">
        <f>AG21*Assumptions!$C$73</f>
        <v>5.266295871567441</v>
      </c>
      <c r="AH25" s="34">
        <f>AH21*Assumptions!$C$73</f>
        <v>5.536947880357317</v>
      </c>
      <c r="AI25" s="34">
        <f>AI21*Assumptions!$C$73</f>
        <v>5.821401710988654</v>
      </c>
      <c r="AJ25" s="34">
        <f>AJ21*Assumptions!$C$73</f>
        <v>6.120453852372262</v>
      </c>
      <c r="AK25" s="34">
        <f>AK21*Assumptions!$C$73</f>
        <v>6.434946757972964</v>
      </c>
      <c r="AL25" s="34">
        <f>AL21*Assumptions!$C$73</f>
        <v>6.7657714983766715</v>
      </c>
      <c r="AM25" s="34">
        <f>AM21*Assumptions!$C$73</f>
        <v>7.113870566934084</v>
      </c>
      <c r="AN25" s="34">
        <f>AN21*Assumptions!$C$73</f>
        <v>7.480240847315745</v>
      </c>
      <c r="AO25" s="34">
        <f>AO21*Assumptions!$C$73</f>
        <v>7.865936752321163</v>
      </c>
      <c r="AP25" s="34">
        <f>AP21*Assumptions!$C$73</f>
        <v>8.27207354382552</v>
      </c>
      <c r="AQ25" s="34">
        <f>AQ21*Assumptions!$C$73</f>
        <v>8.699830844317194</v>
      </c>
      <c r="AR25" s="34">
        <f>AR21*Assumptions!$C$73</f>
        <v>9.220014147667547</v>
      </c>
      <c r="AS25" s="34">
        <f>AS21*Assumptions!$C$73</f>
        <v>9.53558333443444</v>
      </c>
      <c r="AT25" s="34">
        <f>AT21*Assumptions!$C$73</f>
        <v>9.788984803065166</v>
      </c>
      <c r="AU25" s="34">
        <f>AU21*Assumptions!$C$73</f>
        <v>10.048221941744465</v>
      </c>
      <c r="AV25" s="34">
        <f>AV21*Assumptions!$C$73</f>
        <v>10.313454697164461</v>
      </c>
      <c r="AW25" s="34">
        <f>AW21*Assumptions!$C$73</f>
        <v>10.58484739990863</v>
      </c>
      <c r="AX25" s="34">
        <f>AX21*Assumptions!$C$73</f>
        <v>10.862568884607683</v>
      </c>
      <c r="AY25" s="34">
        <f>AY21*Assumptions!$C$73</f>
        <v>11.146792613388488</v>
      </c>
      <c r="AZ25" s="34">
        <f>AZ21*Assumptions!$C$73</f>
        <v>11.437696802706553</v>
      </c>
      <c r="BA25" s="34">
        <f>BA21*Assumptions!$C$73</f>
        <v>11.735464553654804</v>
      </c>
      <c r="BB25" s="34">
        <f>BB21*Assumptions!$C$73</f>
        <v>12.04028398584417</v>
      </c>
      <c r="BC25" s="34">
        <f>BC21*Assumptions!$C$73</f>
        <v>12.35234837495302</v>
      </c>
    </row>
    <row r="26">
      <c r="A26" s="3" t="inlineStr">
        <is>
          <t>Gross profit</t>
        </is>
      </c>
      <c r="B26" s="2" t="inlineStr">
        <is>
          <t>₹ lakh</t>
        </is>
      </c>
      <c r="C26" s="35">
        <f>C21-C23-C24-C25</f>
        <v>-0.43269719999999967</v>
      </c>
      <c r="D26" s="35">
        <f>D21-D23-D24-D25</f>
        <v>-0.8663087249999999</v>
      </c>
      <c r="E26" s="35">
        <f>E21-E23-E24-E25</f>
        <v>-0.33930624935999953</v>
      </c>
      <c r="F26" s="35">
        <f>F21-F23-F24-F25</f>
        <v>-0.052457273879998045</v>
      </c>
      <c r="G26" s="35">
        <f>G21-G23-G24-G25</f>
        <v>0.23439170160000172</v>
      </c>
      <c r="H26" s="35">
        <f>H21-H23-H24-H25</f>
        <v>4.949849572968235</v>
      </c>
      <c r="I26" s="35">
        <f>I21-I23-I24-I25</f>
        <v>5.896112266203898</v>
      </c>
      <c r="J26" s="35">
        <f>J21-J23-J24-J25</f>
        <v>6.642293009051279</v>
      </c>
      <c r="K26" s="35">
        <f>K21-K23-K24-K25</f>
        <v>7.437195559640783</v>
      </c>
      <c r="L26" s="35">
        <f>L21-L23-L24-L25</f>
        <v>8.287676905749677</v>
      </c>
      <c r="M26" s="35">
        <f>M21-M23-M24-M25</f>
        <v>9.201559070804539</v>
      </c>
      <c r="N26" s="35">
        <f>N21-N23-N24-N25</f>
        <v>10.187764930632829</v>
      </c>
      <c r="O26" s="35">
        <f>O21-O23-O24-O25</f>
        <v>11.256473144731167</v>
      </c>
      <c r="P26" s="35">
        <f>P21-P23-P24-P25</f>
        <v>12.419294892179842</v>
      </c>
      <c r="Q26" s="35">
        <f>Q21-Q23-Q24-Q25</f>
        <v>13.689475480937578</v>
      </c>
      <c r="R26" s="35">
        <f>R21-R23-R24-R25</f>
        <v>15.08212433113352</v>
      </c>
      <c r="S26" s="35">
        <f>S21-S23-S24-S25</f>
        <v>16.614477325644096</v>
      </c>
      <c r="T26" s="35">
        <f>T21-T23-T24-T25</f>
        <v>33.076432565404744</v>
      </c>
      <c r="U26" s="35">
        <f>U21-U23-U24-U25</f>
        <v>36.17101703545579</v>
      </c>
      <c r="V26" s="35">
        <f>V21-V23-V24-V25</f>
        <v>38.32122144186488</v>
      </c>
      <c r="W26" s="35">
        <f>W21-W23-W24-W25</f>
        <v>40.562482850390815</v>
      </c>
      <c r="X26" s="35">
        <f>X21-X23-X24-X25</f>
        <v>42.90129159954543</v>
      </c>
      <c r="Y26" s="35">
        <f>Y21-Y23-Y24-Y25</f>
        <v>45.344600644585555</v>
      </c>
      <c r="Z26" s="35">
        <f>Z21-Z23-Z24-Z25</f>
        <v>47.8998585317964</v>
      </c>
      <c r="AA26" s="35">
        <f>AA21-AA23-AA24-AA25</f>
        <v>50.5750447231059</v>
      </c>
      <c r="AB26" s="35">
        <f>AB21-AB23-AB24-AB25</f>
        <v>53.37870743855918</v>
      </c>
      <c r="AC26" s="35">
        <f>AC21-AC23-AC24-AC25</f>
        <v>56.32000419611836</v>
      </c>
      <c r="AD26" s="35">
        <f>AD21-AD23-AD24-AD25</f>
        <v>59.40874524104919</v>
      </c>
      <c r="AE26" s="35">
        <f>AE21-AE23-AE24-AE25</f>
        <v>62.65544007085812</v>
      </c>
      <c r="AF26" s="35">
        <f>AF21-AF23-AF24-AF25</f>
        <v>84.47024661352546</v>
      </c>
      <c r="AG26" s="35">
        <f>AG21-AG23-AG24-AG25</f>
        <v>88.8444412685316</v>
      </c>
      <c r="AH26" s="35">
        <f>AH21-AH23-AH24-AH25</f>
        <v>92.89613964619461</v>
      </c>
      <c r="AI26" s="35">
        <f>AI21-AI23-AI24-AI25</f>
        <v>97.12290036765371</v>
      </c>
      <c r="AJ26" s="35">
        <f>AJ21-AJ23-AJ24-AJ25</f>
        <v>101.53482610030488</v>
      </c>
      <c r="AK26" s="35">
        <f>AK21-AK23-AK24-AK25</f>
        <v>106.14260252606721</v>
      </c>
      <c r="AL26" s="35">
        <f>AL21-AL23-AL24-AL25</f>
        <v>110.95753198654756</v>
      </c>
      <c r="AM26" s="35">
        <f>AM21-AM23-AM24-AM25</f>
        <v>115.99156906983478</v>
      </c>
      <c r="AN26" s="35">
        <f>AN21-AN23-AN24-AN25</f>
        <v>121.25735825097487</v>
      </c>
      <c r="AO26" s="35">
        <f>AO21-AO23-AO24-AO25</f>
        <v>126.768273704632</v>
      </c>
      <c r="AP26" s="35">
        <f>AP21-AP23-AP24-AP25</f>
        <v>132.5384614153048</v>
      </c>
      <c r="AQ26" s="35">
        <f>AQ21-AQ23-AQ24-AQ25</f>
        <v>138.5828837176756</v>
      </c>
      <c r="AR26" s="35">
        <f>AR21-AR23-AR24-AR25</f>
        <v>162.50253063439385</v>
      </c>
      <c r="AS26" s="35">
        <f>AS21-AS23-AS24-AS25</f>
        <v>168.989039402194</v>
      </c>
      <c r="AT26" s="35">
        <f>AT21-AT23-AT24-AT25</f>
        <v>173.3635842743118</v>
      </c>
      <c r="AU26" s="35">
        <f>AU21-AU23-AU24-AU25</f>
        <v>177.82214925052548</v>
      </c>
      <c r="AV26" s="35">
        <f>AV21-AV23-AV24-AV25</f>
        <v>182.36703719196387</v>
      </c>
      <c r="AW26" s="35">
        <f>AW21-AW23-AW24-AW25</f>
        <v>187.0006140776169</v>
      </c>
      <c r="AX26" s="35">
        <f>AX21-AX23-AX24-AX25</f>
        <v>191.72531073430207</v>
      </c>
      <c r="AY26" s="35">
        <f>AY21-AY23-AY24-AY25</f>
        <v>196.54362461404037</v>
      </c>
      <c r="AZ26" s="35">
        <f>AZ21-AZ23-AZ24-AZ25</f>
        <v>201.4581216201497</v>
      </c>
      <c r="BA26" s="35">
        <f>BA21-BA23-BA24-BA25</f>
        <v>206.47143798339073</v>
      </c>
      <c r="BB26" s="35">
        <f>BB21-BB23-BB24-BB25</f>
        <v>211.58628218953385</v>
      </c>
      <c r="BC26" s="35">
        <f>BC21-BC23-BC24-BC25</f>
        <v>216.80543695975427</v>
      </c>
    </row>
    <row r="27">
      <c r="A27" s="13" t="inlineStr">
        <is>
          <t>People</t>
        </is>
      </c>
      <c r="B27" s="14" t="n"/>
    </row>
    <row r="28">
      <c r="A28" s="4" t="inlineStr">
        <is>
          <t>Hiring factor</t>
        </is>
      </c>
      <c r="B28" s="2" t="inlineStr">
        <is>
          <t>x plan</t>
        </is>
      </c>
      <c r="C28" s="36">
        <f>INDEX(Assumptions!$C$26:$G$26,1,C$4)</f>
        <v>1.0</v>
      </c>
      <c r="D28" s="36">
        <f>INDEX(Assumptions!$C$26:$G$26,1,D$4)</f>
        <v>1.0</v>
      </c>
      <c r="E28" s="36">
        <f>INDEX(Assumptions!$C$26:$G$26,1,E$4)</f>
        <v>1.0</v>
      </c>
      <c r="F28" s="36">
        <f>INDEX(Assumptions!$C$26:$G$26,1,F$4)</f>
        <v>1.0</v>
      </c>
      <c r="G28" s="36">
        <f>INDEX(Assumptions!$C$26:$G$26,1,G$4)</f>
        <v>1.0</v>
      </c>
      <c r="H28" s="36">
        <f>INDEX(Assumptions!$C$26:$G$26,1,H$4)</f>
        <v>0.8</v>
      </c>
      <c r="I28" s="36">
        <f>INDEX(Assumptions!$C$26:$G$26,1,I$4)</f>
        <v>0.8</v>
      </c>
      <c r="J28" s="36">
        <f>INDEX(Assumptions!$C$26:$G$26,1,J$4)</f>
        <v>0.8</v>
      </c>
      <c r="K28" s="36">
        <f>INDEX(Assumptions!$C$26:$G$26,1,K$4)</f>
        <v>0.8</v>
      </c>
      <c r="L28" s="36">
        <f>INDEX(Assumptions!$C$26:$G$26,1,L$4)</f>
        <v>0.8</v>
      </c>
      <c r="M28" s="36">
        <f>INDEX(Assumptions!$C$26:$G$26,1,M$4)</f>
        <v>0.8</v>
      </c>
      <c r="N28" s="36">
        <f>INDEX(Assumptions!$C$26:$G$26,1,N$4)</f>
        <v>0.8</v>
      </c>
      <c r="O28" s="36">
        <f>INDEX(Assumptions!$C$26:$G$26,1,O$4)</f>
        <v>0.8</v>
      </c>
      <c r="P28" s="36">
        <f>INDEX(Assumptions!$C$26:$G$26,1,P$4)</f>
        <v>0.8</v>
      </c>
      <c r="Q28" s="36">
        <f>INDEX(Assumptions!$C$26:$G$26,1,Q$4)</f>
        <v>0.8</v>
      </c>
      <c r="R28" s="36">
        <f>INDEX(Assumptions!$C$26:$G$26,1,R$4)</f>
        <v>0.8</v>
      </c>
      <c r="S28" s="36">
        <f>INDEX(Assumptions!$C$26:$G$26,1,S$4)</f>
        <v>0.8</v>
      </c>
      <c r="T28" s="36">
        <f>INDEX(Assumptions!$C$26:$G$26,1,T$4)</f>
        <v>0.8</v>
      </c>
      <c r="U28" s="36">
        <f>INDEX(Assumptions!$C$26:$G$26,1,U$4)</f>
        <v>0.8</v>
      </c>
      <c r="V28" s="36">
        <f>INDEX(Assumptions!$C$26:$G$26,1,V$4)</f>
        <v>0.8</v>
      </c>
      <c r="W28" s="36">
        <f>INDEX(Assumptions!$C$26:$G$26,1,W$4)</f>
        <v>0.8</v>
      </c>
      <c r="X28" s="36">
        <f>INDEX(Assumptions!$C$26:$G$26,1,X$4)</f>
        <v>0.8</v>
      </c>
      <c r="Y28" s="36">
        <f>INDEX(Assumptions!$C$26:$G$26,1,Y$4)</f>
        <v>0.8</v>
      </c>
      <c r="Z28" s="36">
        <f>INDEX(Assumptions!$C$26:$G$26,1,Z$4)</f>
        <v>0.8</v>
      </c>
      <c r="AA28" s="36">
        <f>INDEX(Assumptions!$C$26:$G$26,1,AA$4)</f>
        <v>0.8</v>
      </c>
      <c r="AB28" s="36">
        <f>INDEX(Assumptions!$C$26:$G$26,1,AB$4)</f>
        <v>0.8</v>
      </c>
      <c r="AC28" s="36">
        <f>INDEX(Assumptions!$C$26:$G$26,1,AC$4)</f>
        <v>0.8</v>
      </c>
      <c r="AD28" s="36">
        <f>INDEX(Assumptions!$C$26:$G$26,1,AD$4)</f>
        <v>0.8</v>
      </c>
      <c r="AE28" s="36">
        <f>INDEX(Assumptions!$C$26:$G$26,1,AE$4)</f>
        <v>0.8</v>
      </c>
      <c r="AF28" s="36">
        <f>INDEX(Assumptions!$C$26:$G$26,1,AF$4)</f>
        <v>0.8</v>
      </c>
      <c r="AG28" s="36">
        <f>INDEX(Assumptions!$C$26:$G$26,1,AG$4)</f>
        <v>0.8</v>
      </c>
      <c r="AH28" s="36">
        <f>INDEX(Assumptions!$C$26:$G$26,1,AH$4)</f>
        <v>0.8</v>
      </c>
      <c r="AI28" s="36">
        <f>INDEX(Assumptions!$C$26:$G$26,1,AI$4)</f>
        <v>0.8</v>
      </c>
      <c r="AJ28" s="36">
        <f>INDEX(Assumptions!$C$26:$G$26,1,AJ$4)</f>
        <v>0.8</v>
      </c>
      <c r="AK28" s="36">
        <f>INDEX(Assumptions!$C$26:$G$26,1,AK$4)</f>
        <v>0.8</v>
      </c>
      <c r="AL28" s="36">
        <f>INDEX(Assumptions!$C$26:$G$26,1,AL$4)</f>
        <v>0.8</v>
      </c>
      <c r="AM28" s="36">
        <f>INDEX(Assumptions!$C$26:$G$26,1,AM$4)</f>
        <v>0.8</v>
      </c>
      <c r="AN28" s="36">
        <f>INDEX(Assumptions!$C$26:$G$26,1,AN$4)</f>
        <v>0.8</v>
      </c>
      <c r="AO28" s="36">
        <f>INDEX(Assumptions!$C$26:$G$26,1,AO$4)</f>
        <v>0.8</v>
      </c>
      <c r="AP28" s="36">
        <f>INDEX(Assumptions!$C$26:$G$26,1,AP$4)</f>
        <v>0.8</v>
      </c>
      <c r="AQ28" s="36">
        <f>INDEX(Assumptions!$C$26:$G$26,1,AQ$4)</f>
        <v>0.8</v>
      </c>
      <c r="AR28" s="36">
        <f>INDEX(Assumptions!$C$26:$G$26,1,AR$4)</f>
        <v>0.8</v>
      </c>
      <c r="AS28" s="36">
        <f>INDEX(Assumptions!$C$26:$G$26,1,AS$4)</f>
        <v>0.8</v>
      </c>
      <c r="AT28" s="36">
        <f>INDEX(Assumptions!$C$26:$G$26,1,AT$4)</f>
        <v>0.8</v>
      </c>
      <c r="AU28" s="36">
        <f>INDEX(Assumptions!$C$26:$G$26,1,AU$4)</f>
        <v>0.8</v>
      </c>
      <c r="AV28" s="36">
        <f>INDEX(Assumptions!$C$26:$G$26,1,AV$4)</f>
        <v>0.8</v>
      </c>
      <c r="AW28" s="36">
        <f>INDEX(Assumptions!$C$26:$G$26,1,AW$4)</f>
        <v>0.8</v>
      </c>
      <c r="AX28" s="36">
        <f>INDEX(Assumptions!$C$26:$G$26,1,AX$4)</f>
        <v>0.8</v>
      </c>
      <c r="AY28" s="36">
        <f>INDEX(Assumptions!$C$26:$G$26,1,AY$4)</f>
        <v>0.8</v>
      </c>
      <c r="AZ28" s="36">
        <f>INDEX(Assumptions!$C$26:$G$26,1,AZ$4)</f>
        <v>0.8</v>
      </c>
      <c r="BA28" s="36">
        <f>INDEX(Assumptions!$C$26:$G$26,1,BA$4)</f>
        <v>0.8</v>
      </c>
      <c r="BB28" s="36">
        <f>INDEX(Assumptions!$C$26:$G$26,1,BB$4)</f>
        <v>0.8</v>
      </c>
      <c r="BC28" s="36">
        <f>INDEX(Assumptions!$C$26:$G$26,1,BC$4)</f>
        <v>0.8</v>
      </c>
    </row>
    <row r="29">
      <c r="A29" s="4" t="inlineStr">
        <is>
          <t>Heads: Product &amp; engineering (incl. design, ML/PV)</t>
        </is>
      </c>
      <c r="B29" s="2" t="inlineStr">
        <is>
          <t>people (ramp)</t>
        </is>
      </c>
      <c r="C29" s="34">
        <f>(INDEX(Assumptions!$C$51:$G$51,1,C$4)+(INDEX(Assumptions!$C$51:$G$51,1,C$4)-IF(C$4=1,Assumptions!$H$51,INDEX(Assumptions!$C$51:$G$51,1,MAX(1,C$4-1))))*(C$5-(C$6+1)/2)/C$6)*C28</f>
        <v>3.4</v>
      </c>
      <c r="D29" s="34">
        <f>(INDEX(Assumptions!$C$51:$G$51,1,D$4)+(INDEX(Assumptions!$C$51:$G$51,1,D$4)-IF(D$4=1,Assumptions!$H$51,INDEX(Assumptions!$C$51:$G$51,1,MAX(1,D$4-1))))*(D$5-(D$6+1)/2)/D$6)*D28</f>
        <v>4.2</v>
      </c>
      <c r="E29" s="34">
        <f>(INDEX(Assumptions!$C$51:$G$51,1,E$4)+(INDEX(Assumptions!$C$51:$G$51,1,E$4)-IF(E$4=1,Assumptions!$H$51,INDEX(Assumptions!$C$51:$G$51,1,MAX(1,E$4-1))))*(E$5-(E$6+1)/2)/E$6)*E28</f>
        <v>5.0</v>
      </c>
      <c r="F29" s="34">
        <f>(INDEX(Assumptions!$C$51:$G$51,1,F$4)+(INDEX(Assumptions!$C$51:$G$51,1,F$4)-IF(F$4=1,Assumptions!$H$51,INDEX(Assumptions!$C$51:$G$51,1,MAX(1,F$4-1))))*(F$5-(F$6+1)/2)/F$6)*F28</f>
        <v>5.8</v>
      </c>
      <c r="G29" s="34">
        <f>(INDEX(Assumptions!$C$51:$G$51,1,G$4)+(INDEX(Assumptions!$C$51:$G$51,1,G$4)-IF(G$4=1,Assumptions!$H$51,INDEX(Assumptions!$C$51:$G$51,1,MAX(1,G$4-1))))*(G$5-(G$6+1)/2)/G$6)*G28</f>
        <v>6.6</v>
      </c>
      <c r="H29" s="34">
        <f>(INDEX(Assumptions!$C$51:$G$51,1,H$4)+(INDEX(Assumptions!$C$51:$G$51,1,H$4)-IF(H$4=1,Assumptions!$H$51,INDEX(Assumptions!$C$51:$G$51,1,MAX(1,H$4-1))))*(H$5-(H$6+1)/2)/H$6)*H28</f>
        <v>7.033333333333333</v>
      </c>
      <c r="I29" s="34">
        <f>(INDEX(Assumptions!$C$51:$G$51,1,I$4)+(INDEX(Assumptions!$C$51:$G$51,1,I$4)-IF(I$4=1,Assumptions!$H$51,INDEX(Assumptions!$C$51:$G$51,1,MAX(1,I$4-1))))*(I$5-(I$6+1)/2)/I$6)*I28</f>
        <v>7.5</v>
      </c>
      <c r="J29" s="34">
        <f>(INDEX(Assumptions!$C$51:$G$51,1,J$4)+(INDEX(Assumptions!$C$51:$G$51,1,J$4)-IF(J$4=1,Assumptions!$H$51,INDEX(Assumptions!$C$51:$G$51,1,MAX(1,J$4-1))))*(J$5-(J$6+1)/2)/J$6)*J28</f>
        <v>7.966666666666668</v>
      </c>
      <c r="K29" s="34">
        <f>(INDEX(Assumptions!$C$51:$G$51,1,K$4)+(INDEX(Assumptions!$C$51:$G$51,1,K$4)-IF(K$4=1,Assumptions!$H$51,INDEX(Assumptions!$C$51:$G$51,1,MAX(1,K$4-1))))*(K$5-(K$6+1)/2)/K$6)*K28</f>
        <v>8.433333333333334</v>
      </c>
      <c r="L29" s="34">
        <f>(INDEX(Assumptions!$C$51:$G$51,1,L$4)+(INDEX(Assumptions!$C$51:$G$51,1,L$4)-IF(L$4=1,Assumptions!$H$51,INDEX(Assumptions!$C$51:$G$51,1,MAX(1,L$4-1))))*(L$5-(L$6+1)/2)/L$6)*L28</f>
        <v>8.9</v>
      </c>
      <c r="M29" s="34">
        <f>(INDEX(Assumptions!$C$51:$G$51,1,M$4)+(INDEX(Assumptions!$C$51:$G$51,1,M$4)-IF(M$4=1,Assumptions!$H$51,INDEX(Assumptions!$C$51:$G$51,1,MAX(1,M$4-1))))*(M$5-(M$6+1)/2)/M$6)*M28</f>
        <v>9.366666666666667</v>
      </c>
      <c r="N29" s="34">
        <f>(INDEX(Assumptions!$C$51:$G$51,1,N$4)+(INDEX(Assumptions!$C$51:$G$51,1,N$4)-IF(N$4=1,Assumptions!$H$51,INDEX(Assumptions!$C$51:$G$51,1,MAX(1,N$4-1))))*(N$5-(N$6+1)/2)/N$6)*N28</f>
        <v>9.833333333333334</v>
      </c>
      <c r="O29" s="34">
        <f>(INDEX(Assumptions!$C$51:$G$51,1,O$4)+(INDEX(Assumptions!$C$51:$G$51,1,O$4)-IF(O$4=1,Assumptions!$H$51,INDEX(Assumptions!$C$51:$G$51,1,MAX(1,O$4-1))))*(O$5-(O$6+1)/2)/O$6)*O28</f>
        <v>10.3</v>
      </c>
      <c r="P29" s="34">
        <f>(INDEX(Assumptions!$C$51:$G$51,1,P$4)+(INDEX(Assumptions!$C$51:$G$51,1,P$4)-IF(P$4=1,Assumptions!$H$51,INDEX(Assumptions!$C$51:$G$51,1,MAX(1,P$4-1))))*(P$5-(P$6+1)/2)/P$6)*P28</f>
        <v>10.766666666666667</v>
      </c>
      <c r="Q29" s="34">
        <f>(INDEX(Assumptions!$C$51:$G$51,1,Q$4)+(INDEX(Assumptions!$C$51:$G$51,1,Q$4)-IF(Q$4=1,Assumptions!$H$51,INDEX(Assumptions!$C$51:$G$51,1,MAX(1,Q$4-1))))*(Q$5-(Q$6+1)/2)/Q$6)*Q28</f>
        <v>11.233333333333334</v>
      </c>
      <c r="R29" s="34">
        <f>(INDEX(Assumptions!$C$51:$G$51,1,R$4)+(INDEX(Assumptions!$C$51:$G$51,1,R$4)-IF(R$4=1,Assumptions!$H$51,INDEX(Assumptions!$C$51:$G$51,1,MAX(1,R$4-1))))*(R$5-(R$6+1)/2)/R$6)*R28</f>
        <v>11.700000000000001</v>
      </c>
      <c r="S29" s="34">
        <f>(INDEX(Assumptions!$C$51:$G$51,1,S$4)+(INDEX(Assumptions!$C$51:$G$51,1,S$4)-IF(S$4=1,Assumptions!$H$51,INDEX(Assumptions!$C$51:$G$51,1,MAX(1,S$4-1))))*(S$5-(S$6+1)/2)/S$6)*S28</f>
        <v>12.166666666666668</v>
      </c>
      <c r="T29" s="34">
        <f>(INDEX(Assumptions!$C$51:$G$51,1,T$4)+(INDEX(Assumptions!$C$51:$G$51,1,T$4)-IF(T$4=1,Assumptions!$H$51,INDEX(Assumptions!$C$51:$G$51,1,MAX(1,T$4-1))))*(T$5-(T$6+1)/2)/T$6)*T28</f>
        <v>12.200000000000001</v>
      </c>
      <c r="U29" s="34">
        <f>(INDEX(Assumptions!$C$51:$G$51,1,U$4)+(INDEX(Assumptions!$C$51:$G$51,1,U$4)-IF(U$4=1,Assumptions!$H$51,INDEX(Assumptions!$C$51:$G$51,1,MAX(1,U$4-1))))*(U$5-(U$6+1)/2)/U$6)*U28</f>
        <v>12.600000000000001</v>
      </c>
      <c r="V29" s="34">
        <f>(INDEX(Assumptions!$C$51:$G$51,1,V$4)+(INDEX(Assumptions!$C$51:$G$51,1,V$4)-IF(V$4=1,Assumptions!$H$51,INDEX(Assumptions!$C$51:$G$51,1,MAX(1,V$4-1))))*(V$5-(V$6+1)/2)/V$6)*V28</f>
        <v>13.0</v>
      </c>
      <c r="W29" s="34">
        <f>(INDEX(Assumptions!$C$51:$G$51,1,W$4)+(INDEX(Assumptions!$C$51:$G$51,1,W$4)-IF(W$4=1,Assumptions!$H$51,INDEX(Assumptions!$C$51:$G$51,1,MAX(1,W$4-1))))*(W$5-(W$6+1)/2)/W$6)*W28</f>
        <v>13.4</v>
      </c>
      <c r="X29" s="34">
        <f>(INDEX(Assumptions!$C$51:$G$51,1,X$4)+(INDEX(Assumptions!$C$51:$G$51,1,X$4)-IF(X$4=1,Assumptions!$H$51,INDEX(Assumptions!$C$51:$G$51,1,MAX(1,X$4-1))))*(X$5-(X$6+1)/2)/X$6)*X28</f>
        <v>13.8</v>
      </c>
      <c r="Y29" s="34">
        <f>(INDEX(Assumptions!$C$51:$G$51,1,Y$4)+(INDEX(Assumptions!$C$51:$G$51,1,Y$4)-IF(Y$4=1,Assumptions!$H$51,INDEX(Assumptions!$C$51:$G$51,1,MAX(1,Y$4-1))))*(Y$5-(Y$6+1)/2)/Y$6)*Y28</f>
        <v>14.200000000000001</v>
      </c>
      <c r="Z29" s="34">
        <f>(INDEX(Assumptions!$C$51:$G$51,1,Z$4)+(INDEX(Assumptions!$C$51:$G$51,1,Z$4)-IF(Z$4=1,Assumptions!$H$51,INDEX(Assumptions!$C$51:$G$51,1,MAX(1,Z$4-1))))*(Z$5-(Z$6+1)/2)/Z$6)*Z28</f>
        <v>14.600000000000001</v>
      </c>
      <c r="AA29" s="34">
        <f>(INDEX(Assumptions!$C$51:$G$51,1,AA$4)+(INDEX(Assumptions!$C$51:$G$51,1,AA$4)-IF(AA$4=1,Assumptions!$H$51,INDEX(Assumptions!$C$51:$G$51,1,MAX(1,AA$4-1))))*(AA$5-(AA$6+1)/2)/AA$6)*AA28</f>
        <v>15.0</v>
      </c>
      <c r="AB29" s="34">
        <f>(INDEX(Assumptions!$C$51:$G$51,1,AB$4)+(INDEX(Assumptions!$C$51:$G$51,1,AB$4)-IF(AB$4=1,Assumptions!$H$51,INDEX(Assumptions!$C$51:$G$51,1,MAX(1,AB$4-1))))*(AB$5-(AB$6+1)/2)/AB$6)*AB28</f>
        <v>15.4</v>
      </c>
      <c r="AC29" s="34">
        <f>(INDEX(Assumptions!$C$51:$G$51,1,AC$4)+(INDEX(Assumptions!$C$51:$G$51,1,AC$4)-IF(AC$4=1,Assumptions!$H$51,INDEX(Assumptions!$C$51:$G$51,1,MAX(1,AC$4-1))))*(AC$5-(AC$6+1)/2)/AC$6)*AC28</f>
        <v>15.8</v>
      </c>
      <c r="AD29" s="34">
        <f>(INDEX(Assumptions!$C$51:$G$51,1,AD$4)+(INDEX(Assumptions!$C$51:$G$51,1,AD$4)-IF(AD$4=1,Assumptions!$H$51,INDEX(Assumptions!$C$51:$G$51,1,MAX(1,AD$4-1))))*(AD$5-(AD$6+1)/2)/AD$6)*AD28</f>
        <v>16.2</v>
      </c>
      <c r="AE29" s="34">
        <f>(INDEX(Assumptions!$C$51:$G$51,1,AE$4)+(INDEX(Assumptions!$C$51:$G$51,1,AE$4)-IF(AE$4=1,Assumptions!$H$51,INDEX(Assumptions!$C$51:$G$51,1,MAX(1,AE$4-1))))*(AE$5-(AE$6+1)/2)/AE$6)*AE28</f>
        <v>16.6</v>
      </c>
      <c r="AF29" s="34">
        <f>(INDEX(Assumptions!$C$51:$G$51,1,AF$4)+(INDEX(Assumptions!$C$51:$G$51,1,AF$4)-IF(AF$4=1,Assumptions!$H$51,INDEX(Assumptions!$C$51:$G$51,1,MAX(1,AF$4-1))))*(AF$5-(AF$6+1)/2)/AF$6)*AF28</f>
        <v>17.0</v>
      </c>
      <c r="AG29" s="34">
        <f>(INDEX(Assumptions!$C$51:$G$51,1,AG$4)+(INDEX(Assumptions!$C$51:$G$51,1,AG$4)-IF(AG$4=1,Assumptions!$H$51,INDEX(Assumptions!$C$51:$G$51,1,MAX(1,AG$4-1))))*(AG$5-(AG$6+1)/2)/AG$6)*AG28</f>
        <v>17.400000000000002</v>
      </c>
      <c r="AH29" s="34">
        <f>(INDEX(Assumptions!$C$51:$G$51,1,AH$4)+(INDEX(Assumptions!$C$51:$G$51,1,AH$4)-IF(AH$4=1,Assumptions!$H$51,INDEX(Assumptions!$C$51:$G$51,1,MAX(1,AH$4-1))))*(AH$5-(AH$6+1)/2)/AH$6)*AH28</f>
        <v>17.8</v>
      </c>
      <c r="AI29" s="34">
        <f>(INDEX(Assumptions!$C$51:$G$51,1,AI$4)+(INDEX(Assumptions!$C$51:$G$51,1,AI$4)-IF(AI$4=1,Assumptions!$H$51,INDEX(Assumptions!$C$51:$G$51,1,MAX(1,AI$4-1))))*(AI$5-(AI$6+1)/2)/AI$6)*AI28</f>
        <v>18.2</v>
      </c>
      <c r="AJ29" s="34">
        <f>(INDEX(Assumptions!$C$51:$G$51,1,AJ$4)+(INDEX(Assumptions!$C$51:$G$51,1,AJ$4)-IF(AJ$4=1,Assumptions!$H$51,INDEX(Assumptions!$C$51:$G$51,1,MAX(1,AJ$4-1))))*(AJ$5-(AJ$6+1)/2)/AJ$6)*AJ28</f>
        <v>18.6</v>
      </c>
      <c r="AK29" s="34">
        <f>(INDEX(Assumptions!$C$51:$G$51,1,AK$4)+(INDEX(Assumptions!$C$51:$G$51,1,AK$4)-IF(AK$4=1,Assumptions!$H$51,INDEX(Assumptions!$C$51:$G$51,1,MAX(1,AK$4-1))))*(AK$5-(AK$6+1)/2)/AK$6)*AK28</f>
        <v>19.0</v>
      </c>
      <c r="AL29" s="34">
        <f>(INDEX(Assumptions!$C$51:$G$51,1,AL$4)+(INDEX(Assumptions!$C$51:$G$51,1,AL$4)-IF(AL$4=1,Assumptions!$H$51,INDEX(Assumptions!$C$51:$G$51,1,MAX(1,AL$4-1))))*(AL$5-(AL$6+1)/2)/AL$6)*AL28</f>
        <v>19.400000000000002</v>
      </c>
      <c r="AM29" s="34">
        <f>(INDEX(Assumptions!$C$51:$G$51,1,AM$4)+(INDEX(Assumptions!$C$51:$G$51,1,AM$4)-IF(AM$4=1,Assumptions!$H$51,INDEX(Assumptions!$C$51:$G$51,1,MAX(1,AM$4-1))))*(AM$5-(AM$6+1)/2)/AM$6)*AM28</f>
        <v>19.8</v>
      </c>
      <c r="AN29" s="34">
        <f>(INDEX(Assumptions!$C$51:$G$51,1,AN$4)+(INDEX(Assumptions!$C$51:$G$51,1,AN$4)-IF(AN$4=1,Assumptions!$H$51,INDEX(Assumptions!$C$51:$G$51,1,MAX(1,AN$4-1))))*(AN$5-(AN$6+1)/2)/AN$6)*AN28</f>
        <v>20.200000000000003</v>
      </c>
      <c r="AO29" s="34">
        <f>(INDEX(Assumptions!$C$51:$G$51,1,AO$4)+(INDEX(Assumptions!$C$51:$G$51,1,AO$4)-IF(AO$4=1,Assumptions!$H$51,INDEX(Assumptions!$C$51:$G$51,1,MAX(1,AO$4-1))))*(AO$5-(AO$6+1)/2)/AO$6)*AO28</f>
        <v>20.6</v>
      </c>
      <c r="AP29" s="34">
        <f>(INDEX(Assumptions!$C$51:$G$51,1,AP$4)+(INDEX(Assumptions!$C$51:$G$51,1,AP$4)-IF(AP$4=1,Assumptions!$H$51,INDEX(Assumptions!$C$51:$G$51,1,MAX(1,AP$4-1))))*(AP$5-(AP$6+1)/2)/AP$6)*AP28</f>
        <v>21.0</v>
      </c>
      <c r="AQ29" s="34">
        <f>(INDEX(Assumptions!$C$51:$G$51,1,AQ$4)+(INDEX(Assumptions!$C$51:$G$51,1,AQ$4)-IF(AQ$4=1,Assumptions!$H$51,INDEX(Assumptions!$C$51:$G$51,1,MAX(1,AQ$4-1))))*(AQ$5-(AQ$6+1)/2)/AQ$6)*AQ28</f>
        <v>21.400000000000002</v>
      </c>
      <c r="AR29" s="34">
        <f>(INDEX(Assumptions!$C$51:$G$51,1,AR$4)+(INDEX(Assumptions!$C$51:$G$51,1,AR$4)-IF(AR$4=1,Assumptions!$H$51,INDEX(Assumptions!$C$51:$G$51,1,MAX(1,AR$4-1))))*(AR$5-(AR$6+1)/2)/AR$6)*AR28</f>
        <v>21.8</v>
      </c>
      <c r="AS29" s="34">
        <f>(INDEX(Assumptions!$C$51:$G$51,1,AS$4)+(INDEX(Assumptions!$C$51:$G$51,1,AS$4)-IF(AS$4=1,Assumptions!$H$51,INDEX(Assumptions!$C$51:$G$51,1,MAX(1,AS$4-1))))*(AS$5-(AS$6+1)/2)/AS$6)*AS28</f>
        <v>22.200000000000003</v>
      </c>
      <c r="AT29" s="34">
        <f>(INDEX(Assumptions!$C$51:$G$51,1,AT$4)+(INDEX(Assumptions!$C$51:$G$51,1,AT$4)-IF(AT$4=1,Assumptions!$H$51,INDEX(Assumptions!$C$51:$G$51,1,MAX(1,AT$4-1))))*(AT$5-(AT$6+1)/2)/AT$6)*AT28</f>
        <v>22.6</v>
      </c>
      <c r="AU29" s="34">
        <f>(INDEX(Assumptions!$C$51:$G$51,1,AU$4)+(INDEX(Assumptions!$C$51:$G$51,1,AU$4)-IF(AU$4=1,Assumptions!$H$51,INDEX(Assumptions!$C$51:$G$51,1,MAX(1,AU$4-1))))*(AU$5-(AU$6+1)/2)/AU$6)*AU28</f>
        <v>23.0</v>
      </c>
      <c r="AV29" s="34">
        <f>(INDEX(Assumptions!$C$51:$G$51,1,AV$4)+(INDEX(Assumptions!$C$51:$G$51,1,AV$4)-IF(AV$4=1,Assumptions!$H$51,INDEX(Assumptions!$C$51:$G$51,1,MAX(1,AV$4-1))))*(AV$5-(AV$6+1)/2)/AV$6)*AV28</f>
        <v>23.400000000000002</v>
      </c>
      <c r="AW29" s="34">
        <f>(INDEX(Assumptions!$C$51:$G$51,1,AW$4)+(INDEX(Assumptions!$C$51:$G$51,1,AW$4)-IF(AW$4=1,Assumptions!$H$51,INDEX(Assumptions!$C$51:$G$51,1,MAX(1,AW$4-1))))*(AW$5-(AW$6+1)/2)/AW$6)*AW28</f>
        <v>23.8</v>
      </c>
      <c r="AX29" s="34">
        <f>(INDEX(Assumptions!$C$51:$G$51,1,AX$4)+(INDEX(Assumptions!$C$51:$G$51,1,AX$4)-IF(AX$4=1,Assumptions!$H$51,INDEX(Assumptions!$C$51:$G$51,1,MAX(1,AX$4-1))))*(AX$5-(AX$6+1)/2)/AX$6)*AX28</f>
        <v>24.200000000000003</v>
      </c>
      <c r="AY29" s="34">
        <f>(INDEX(Assumptions!$C$51:$G$51,1,AY$4)+(INDEX(Assumptions!$C$51:$G$51,1,AY$4)-IF(AY$4=1,Assumptions!$H$51,INDEX(Assumptions!$C$51:$G$51,1,MAX(1,AY$4-1))))*(AY$5-(AY$6+1)/2)/AY$6)*AY28</f>
        <v>24.6</v>
      </c>
      <c r="AZ29" s="34">
        <f>(INDEX(Assumptions!$C$51:$G$51,1,AZ$4)+(INDEX(Assumptions!$C$51:$G$51,1,AZ$4)-IF(AZ$4=1,Assumptions!$H$51,INDEX(Assumptions!$C$51:$G$51,1,MAX(1,AZ$4-1))))*(AZ$5-(AZ$6+1)/2)/AZ$6)*AZ28</f>
        <v>25.0</v>
      </c>
      <c r="BA29" s="34">
        <f>(INDEX(Assumptions!$C$51:$G$51,1,BA$4)+(INDEX(Assumptions!$C$51:$G$51,1,BA$4)-IF(BA$4=1,Assumptions!$H$51,INDEX(Assumptions!$C$51:$G$51,1,MAX(1,BA$4-1))))*(BA$5-(BA$6+1)/2)/BA$6)*BA28</f>
        <v>25.400000000000002</v>
      </c>
      <c r="BB29" s="34">
        <f>(INDEX(Assumptions!$C$51:$G$51,1,BB$4)+(INDEX(Assumptions!$C$51:$G$51,1,BB$4)-IF(BB$4=1,Assumptions!$H$51,INDEX(Assumptions!$C$51:$G$51,1,MAX(1,BB$4-1))))*(BB$5-(BB$6+1)/2)/BB$6)*BB28</f>
        <v>25.8</v>
      </c>
      <c r="BC29" s="34">
        <f>(INDEX(Assumptions!$C$51:$G$51,1,BC$4)+(INDEX(Assumptions!$C$51:$G$51,1,BC$4)-IF(BC$4=1,Assumptions!$H$51,INDEX(Assumptions!$C$51:$G$51,1,MAX(1,BC$4-1))))*(BC$5-(BC$6+1)/2)/BC$6)*BC28</f>
        <v>26.200000000000003</v>
      </c>
    </row>
    <row r="30">
      <c r="A30" s="4" t="inlineStr">
        <is>
          <t>Heads: Growth &amp; content</t>
        </is>
      </c>
      <c r="B30" s="2" t="inlineStr">
        <is>
          <t>people (ramp)</t>
        </is>
      </c>
      <c r="C30" s="34">
        <f>(INDEX(Assumptions!$C$52:$G$52,1,C$4)+(INDEX(Assumptions!$C$52:$G$52,1,C$4)-IF(C$4=1,Assumptions!$H$52,INDEX(Assumptions!$C$52:$G$52,1,MAX(1,C$4-1))))*(C$5-(C$6+1)/2)/C$6)*C28</f>
        <v>1.6</v>
      </c>
      <c r="D30" s="34">
        <f>(INDEX(Assumptions!$C$52:$G$52,1,D$4)+(INDEX(Assumptions!$C$52:$G$52,1,D$4)-IF(D$4=1,Assumptions!$H$52,INDEX(Assumptions!$C$52:$G$52,1,MAX(1,D$4-1))))*(D$5-(D$6+1)/2)/D$6)*D28</f>
        <v>1.8</v>
      </c>
      <c r="E30" s="34">
        <f>(INDEX(Assumptions!$C$52:$G$52,1,E$4)+(INDEX(Assumptions!$C$52:$G$52,1,E$4)-IF(E$4=1,Assumptions!$H$52,INDEX(Assumptions!$C$52:$G$52,1,MAX(1,E$4-1))))*(E$5-(E$6+1)/2)/E$6)*E28</f>
        <v>2.0</v>
      </c>
      <c r="F30" s="34">
        <f>(INDEX(Assumptions!$C$52:$G$52,1,F$4)+(INDEX(Assumptions!$C$52:$G$52,1,F$4)-IF(F$4=1,Assumptions!$H$52,INDEX(Assumptions!$C$52:$G$52,1,MAX(1,F$4-1))))*(F$5-(F$6+1)/2)/F$6)*F28</f>
        <v>2.2</v>
      </c>
      <c r="G30" s="34">
        <f>(INDEX(Assumptions!$C$52:$G$52,1,G$4)+(INDEX(Assumptions!$C$52:$G$52,1,G$4)-IF(G$4=1,Assumptions!$H$52,INDEX(Assumptions!$C$52:$G$52,1,MAX(1,G$4-1))))*(G$5-(G$6+1)/2)/G$6)*G28</f>
        <v>2.4</v>
      </c>
      <c r="H30" s="34">
        <f>(INDEX(Assumptions!$C$52:$G$52,1,H$4)+(INDEX(Assumptions!$C$52:$G$52,1,H$4)-IF(H$4=1,Assumptions!$H$52,INDEX(Assumptions!$C$52:$G$52,1,MAX(1,H$4-1))))*(H$5-(H$6+1)/2)/H$6)*H28</f>
        <v>2.466666666666667</v>
      </c>
      <c r="I30" s="34">
        <f>(INDEX(Assumptions!$C$52:$G$52,1,I$4)+(INDEX(Assumptions!$C$52:$G$52,1,I$4)-IF(I$4=1,Assumptions!$H$52,INDEX(Assumptions!$C$52:$G$52,1,MAX(1,I$4-1))))*(I$5-(I$6+1)/2)/I$6)*I28</f>
        <v>2.6</v>
      </c>
      <c r="J30" s="34">
        <f>(INDEX(Assumptions!$C$52:$G$52,1,J$4)+(INDEX(Assumptions!$C$52:$G$52,1,J$4)-IF(J$4=1,Assumptions!$H$52,INDEX(Assumptions!$C$52:$G$52,1,MAX(1,J$4-1))))*(J$5-(J$6+1)/2)/J$6)*J28</f>
        <v>2.7333333333333334</v>
      </c>
      <c r="K30" s="34">
        <f>(INDEX(Assumptions!$C$52:$G$52,1,K$4)+(INDEX(Assumptions!$C$52:$G$52,1,K$4)-IF(K$4=1,Assumptions!$H$52,INDEX(Assumptions!$C$52:$G$52,1,MAX(1,K$4-1))))*(K$5-(K$6+1)/2)/K$6)*K28</f>
        <v>2.866666666666667</v>
      </c>
      <c r="L30" s="34">
        <f>(INDEX(Assumptions!$C$52:$G$52,1,L$4)+(INDEX(Assumptions!$C$52:$G$52,1,L$4)-IF(L$4=1,Assumptions!$H$52,INDEX(Assumptions!$C$52:$G$52,1,MAX(1,L$4-1))))*(L$5-(L$6+1)/2)/L$6)*L28</f>
        <v>3.0</v>
      </c>
      <c r="M30" s="34">
        <f>(INDEX(Assumptions!$C$52:$G$52,1,M$4)+(INDEX(Assumptions!$C$52:$G$52,1,M$4)-IF(M$4=1,Assumptions!$H$52,INDEX(Assumptions!$C$52:$G$52,1,MAX(1,M$4-1))))*(M$5-(M$6+1)/2)/M$6)*M28</f>
        <v>3.1333333333333333</v>
      </c>
      <c r="N30" s="34">
        <f>(INDEX(Assumptions!$C$52:$G$52,1,N$4)+(INDEX(Assumptions!$C$52:$G$52,1,N$4)-IF(N$4=1,Assumptions!$H$52,INDEX(Assumptions!$C$52:$G$52,1,MAX(1,N$4-1))))*(N$5-(N$6+1)/2)/N$6)*N28</f>
        <v>3.2666666666666666</v>
      </c>
      <c r="O30" s="34">
        <f>(INDEX(Assumptions!$C$52:$G$52,1,O$4)+(INDEX(Assumptions!$C$52:$G$52,1,O$4)-IF(O$4=1,Assumptions!$H$52,INDEX(Assumptions!$C$52:$G$52,1,MAX(1,O$4-1))))*(O$5-(O$6+1)/2)/O$6)*O28</f>
        <v>3.4000000000000004</v>
      </c>
      <c r="P30" s="34">
        <f>(INDEX(Assumptions!$C$52:$G$52,1,P$4)+(INDEX(Assumptions!$C$52:$G$52,1,P$4)-IF(P$4=1,Assumptions!$H$52,INDEX(Assumptions!$C$52:$G$52,1,MAX(1,P$4-1))))*(P$5-(P$6+1)/2)/P$6)*P28</f>
        <v>3.5333333333333337</v>
      </c>
      <c r="Q30" s="34">
        <f>(INDEX(Assumptions!$C$52:$G$52,1,Q$4)+(INDEX(Assumptions!$C$52:$G$52,1,Q$4)-IF(Q$4=1,Assumptions!$H$52,INDEX(Assumptions!$C$52:$G$52,1,MAX(1,Q$4-1))))*(Q$5-(Q$6+1)/2)/Q$6)*Q28</f>
        <v>3.6666666666666665</v>
      </c>
      <c r="R30" s="34">
        <f>(INDEX(Assumptions!$C$52:$G$52,1,R$4)+(INDEX(Assumptions!$C$52:$G$52,1,R$4)-IF(R$4=1,Assumptions!$H$52,INDEX(Assumptions!$C$52:$G$52,1,MAX(1,R$4-1))))*(R$5-(R$6+1)/2)/R$6)*R28</f>
        <v>3.8000000000000003</v>
      </c>
      <c r="S30" s="34">
        <f>(INDEX(Assumptions!$C$52:$G$52,1,S$4)+(INDEX(Assumptions!$C$52:$G$52,1,S$4)-IF(S$4=1,Assumptions!$H$52,INDEX(Assumptions!$C$52:$G$52,1,MAX(1,S$4-1))))*(S$5-(S$6+1)/2)/S$6)*S28</f>
        <v>3.9333333333333336</v>
      </c>
      <c r="T30" s="34">
        <f>(INDEX(Assumptions!$C$52:$G$52,1,T$4)+(INDEX(Assumptions!$C$52:$G$52,1,T$4)-IF(T$4=1,Assumptions!$H$52,INDEX(Assumptions!$C$52:$G$52,1,MAX(1,T$4-1))))*(T$5-(T$6+1)/2)/T$6)*T28</f>
        <v>4.5</v>
      </c>
      <c r="U30" s="34">
        <f>(INDEX(Assumptions!$C$52:$G$52,1,U$4)+(INDEX(Assumptions!$C$52:$G$52,1,U$4)-IF(U$4=1,Assumptions!$H$52,INDEX(Assumptions!$C$52:$G$52,1,MAX(1,U$4-1))))*(U$5-(U$6+1)/2)/U$6)*U28</f>
        <v>4.7</v>
      </c>
      <c r="V30" s="34">
        <f>(INDEX(Assumptions!$C$52:$G$52,1,V$4)+(INDEX(Assumptions!$C$52:$G$52,1,V$4)-IF(V$4=1,Assumptions!$H$52,INDEX(Assumptions!$C$52:$G$52,1,MAX(1,V$4-1))))*(V$5-(V$6+1)/2)/V$6)*V28</f>
        <v>4.9</v>
      </c>
      <c r="W30" s="34">
        <f>(INDEX(Assumptions!$C$52:$G$52,1,W$4)+(INDEX(Assumptions!$C$52:$G$52,1,W$4)-IF(W$4=1,Assumptions!$H$52,INDEX(Assumptions!$C$52:$G$52,1,MAX(1,W$4-1))))*(W$5-(W$6+1)/2)/W$6)*W28</f>
        <v>5.1000000000000005</v>
      </c>
      <c r="X30" s="34">
        <f>(INDEX(Assumptions!$C$52:$G$52,1,X$4)+(INDEX(Assumptions!$C$52:$G$52,1,X$4)-IF(X$4=1,Assumptions!$H$52,INDEX(Assumptions!$C$52:$G$52,1,MAX(1,X$4-1))))*(X$5-(X$6+1)/2)/X$6)*X28</f>
        <v>5.300000000000001</v>
      </c>
      <c r="Y30" s="34">
        <f>(INDEX(Assumptions!$C$52:$G$52,1,Y$4)+(INDEX(Assumptions!$C$52:$G$52,1,Y$4)-IF(Y$4=1,Assumptions!$H$52,INDEX(Assumptions!$C$52:$G$52,1,MAX(1,Y$4-1))))*(Y$5-(Y$6+1)/2)/Y$6)*Y28</f>
        <v>5.5</v>
      </c>
      <c r="Z30" s="34">
        <f>(INDEX(Assumptions!$C$52:$G$52,1,Z$4)+(INDEX(Assumptions!$C$52:$G$52,1,Z$4)-IF(Z$4=1,Assumptions!$H$52,INDEX(Assumptions!$C$52:$G$52,1,MAX(1,Z$4-1))))*(Z$5-(Z$6+1)/2)/Z$6)*Z28</f>
        <v>5.7</v>
      </c>
      <c r="AA30" s="34">
        <f>(INDEX(Assumptions!$C$52:$G$52,1,AA$4)+(INDEX(Assumptions!$C$52:$G$52,1,AA$4)-IF(AA$4=1,Assumptions!$H$52,INDEX(Assumptions!$C$52:$G$52,1,MAX(1,AA$4-1))))*(AA$5-(AA$6+1)/2)/AA$6)*AA28</f>
        <v>5.9</v>
      </c>
      <c r="AB30" s="34">
        <f>(INDEX(Assumptions!$C$52:$G$52,1,AB$4)+(INDEX(Assumptions!$C$52:$G$52,1,AB$4)-IF(AB$4=1,Assumptions!$H$52,INDEX(Assumptions!$C$52:$G$52,1,MAX(1,AB$4-1))))*(AB$5-(AB$6+1)/2)/AB$6)*AB28</f>
        <v>6.1000000000000005</v>
      </c>
      <c r="AC30" s="34">
        <f>(INDEX(Assumptions!$C$52:$G$52,1,AC$4)+(INDEX(Assumptions!$C$52:$G$52,1,AC$4)-IF(AC$4=1,Assumptions!$H$52,INDEX(Assumptions!$C$52:$G$52,1,MAX(1,AC$4-1))))*(AC$5-(AC$6+1)/2)/AC$6)*AC28</f>
        <v>6.300000000000001</v>
      </c>
      <c r="AD30" s="34">
        <f>(INDEX(Assumptions!$C$52:$G$52,1,AD$4)+(INDEX(Assumptions!$C$52:$G$52,1,AD$4)-IF(AD$4=1,Assumptions!$H$52,INDEX(Assumptions!$C$52:$G$52,1,MAX(1,AD$4-1))))*(AD$5-(AD$6+1)/2)/AD$6)*AD28</f>
        <v>6.5</v>
      </c>
      <c r="AE30" s="34">
        <f>(INDEX(Assumptions!$C$52:$G$52,1,AE$4)+(INDEX(Assumptions!$C$52:$G$52,1,AE$4)-IF(AE$4=1,Assumptions!$H$52,INDEX(Assumptions!$C$52:$G$52,1,MAX(1,AE$4-1))))*(AE$5-(AE$6+1)/2)/AE$6)*AE28</f>
        <v>6.7</v>
      </c>
      <c r="AF30" s="34">
        <f>(INDEX(Assumptions!$C$52:$G$52,1,AF$4)+(INDEX(Assumptions!$C$52:$G$52,1,AF$4)-IF(AF$4=1,Assumptions!$H$52,INDEX(Assumptions!$C$52:$G$52,1,MAX(1,AF$4-1))))*(AF$5-(AF$6+1)/2)/AF$6)*AF28</f>
        <v>6.466666666666668</v>
      </c>
      <c r="AG30" s="34">
        <f>(INDEX(Assumptions!$C$52:$G$52,1,AG$4)+(INDEX(Assumptions!$C$52:$G$52,1,AG$4)-IF(AG$4=1,Assumptions!$H$52,INDEX(Assumptions!$C$52:$G$52,1,MAX(1,AG$4-1))))*(AG$5-(AG$6+1)/2)/AG$6)*AG28</f>
        <v>6.6000000000000005</v>
      </c>
      <c r="AH30" s="34">
        <f>(INDEX(Assumptions!$C$52:$G$52,1,AH$4)+(INDEX(Assumptions!$C$52:$G$52,1,AH$4)-IF(AH$4=1,Assumptions!$H$52,INDEX(Assumptions!$C$52:$G$52,1,MAX(1,AH$4-1))))*(AH$5-(AH$6+1)/2)/AH$6)*AH28</f>
        <v>6.733333333333333</v>
      </c>
      <c r="AI30" s="34">
        <f>(INDEX(Assumptions!$C$52:$G$52,1,AI$4)+(INDEX(Assumptions!$C$52:$G$52,1,AI$4)-IF(AI$4=1,Assumptions!$H$52,INDEX(Assumptions!$C$52:$G$52,1,MAX(1,AI$4-1))))*(AI$5-(AI$6+1)/2)/AI$6)*AI28</f>
        <v>6.866666666666667</v>
      </c>
      <c r="AJ30" s="34">
        <f>(INDEX(Assumptions!$C$52:$G$52,1,AJ$4)+(INDEX(Assumptions!$C$52:$G$52,1,AJ$4)-IF(AJ$4=1,Assumptions!$H$52,INDEX(Assumptions!$C$52:$G$52,1,MAX(1,AJ$4-1))))*(AJ$5-(AJ$6+1)/2)/AJ$6)*AJ28</f>
        <v>7.0</v>
      </c>
      <c r="AK30" s="34">
        <f>(INDEX(Assumptions!$C$52:$G$52,1,AK$4)+(INDEX(Assumptions!$C$52:$G$52,1,AK$4)-IF(AK$4=1,Assumptions!$H$52,INDEX(Assumptions!$C$52:$G$52,1,MAX(1,AK$4-1))))*(AK$5-(AK$6+1)/2)/AK$6)*AK28</f>
        <v>7.133333333333333</v>
      </c>
      <c r="AL30" s="34">
        <f>(INDEX(Assumptions!$C$52:$G$52,1,AL$4)+(INDEX(Assumptions!$C$52:$G$52,1,AL$4)-IF(AL$4=1,Assumptions!$H$52,INDEX(Assumptions!$C$52:$G$52,1,MAX(1,AL$4-1))))*(AL$5-(AL$6+1)/2)/AL$6)*AL28</f>
        <v>7.2666666666666675</v>
      </c>
      <c r="AM30" s="34">
        <f>(INDEX(Assumptions!$C$52:$G$52,1,AM$4)+(INDEX(Assumptions!$C$52:$G$52,1,AM$4)-IF(AM$4=1,Assumptions!$H$52,INDEX(Assumptions!$C$52:$G$52,1,MAX(1,AM$4-1))))*(AM$5-(AM$6+1)/2)/AM$6)*AM28</f>
        <v>7.4</v>
      </c>
      <c r="AN30" s="34">
        <f>(INDEX(Assumptions!$C$52:$G$52,1,AN$4)+(INDEX(Assumptions!$C$52:$G$52,1,AN$4)-IF(AN$4=1,Assumptions!$H$52,INDEX(Assumptions!$C$52:$G$52,1,MAX(1,AN$4-1))))*(AN$5-(AN$6+1)/2)/AN$6)*AN28</f>
        <v>7.533333333333333</v>
      </c>
      <c r="AO30" s="34">
        <f>(INDEX(Assumptions!$C$52:$G$52,1,AO$4)+(INDEX(Assumptions!$C$52:$G$52,1,AO$4)-IF(AO$4=1,Assumptions!$H$52,INDEX(Assumptions!$C$52:$G$52,1,MAX(1,AO$4-1))))*(AO$5-(AO$6+1)/2)/AO$6)*AO28</f>
        <v>7.666666666666668</v>
      </c>
      <c r="AP30" s="34">
        <f>(INDEX(Assumptions!$C$52:$G$52,1,AP$4)+(INDEX(Assumptions!$C$52:$G$52,1,AP$4)-IF(AP$4=1,Assumptions!$H$52,INDEX(Assumptions!$C$52:$G$52,1,MAX(1,AP$4-1))))*(AP$5-(AP$6+1)/2)/AP$6)*AP28</f>
        <v>7.800000000000001</v>
      </c>
      <c r="AQ30" s="34">
        <f>(INDEX(Assumptions!$C$52:$G$52,1,AQ$4)+(INDEX(Assumptions!$C$52:$G$52,1,AQ$4)-IF(AQ$4=1,Assumptions!$H$52,INDEX(Assumptions!$C$52:$G$52,1,MAX(1,AQ$4-1))))*(AQ$5-(AQ$6+1)/2)/AQ$6)*AQ28</f>
        <v>7.933333333333334</v>
      </c>
      <c r="AR30" s="34">
        <f>(INDEX(Assumptions!$C$52:$G$52,1,AR$4)+(INDEX(Assumptions!$C$52:$G$52,1,AR$4)-IF(AR$4=1,Assumptions!$H$52,INDEX(Assumptions!$C$52:$G$52,1,MAX(1,AR$4-1))))*(AR$5-(AR$6+1)/2)/AR$6)*AR28</f>
        <v>8.066666666666668</v>
      </c>
      <c r="AS30" s="34">
        <f>(INDEX(Assumptions!$C$52:$G$52,1,AS$4)+(INDEX(Assumptions!$C$52:$G$52,1,AS$4)-IF(AS$4=1,Assumptions!$H$52,INDEX(Assumptions!$C$52:$G$52,1,MAX(1,AS$4-1))))*(AS$5-(AS$6+1)/2)/AS$6)*AS28</f>
        <v>8.200000000000001</v>
      </c>
      <c r="AT30" s="34">
        <f>(INDEX(Assumptions!$C$52:$G$52,1,AT$4)+(INDEX(Assumptions!$C$52:$G$52,1,AT$4)-IF(AT$4=1,Assumptions!$H$52,INDEX(Assumptions!$C$52:$G$52,1,MAX(1,AT$4-1))))*(AT$5-(AT$6+1)/2)/AT$6)*AT28</f>
        <v>8.333333333333334</v>
      </c>
      <c r="AU30" s="34">
        <f>(INDEX(Assumptions!$C$52:$G$52,1,AU$4)+(INDEX(Assumptions!$C$52:$G$52,1,AU$4)-IF(AU$4=1,Assumptions!$H$52,INDEX(Assumptions!$C$52:$G$52,1,MAX(1,AU$4-1))))*(AU$5-(AU$6+1)/2)/AU$6)*AU28</f>
        <v>8.466666666666667</v>
      </c>
      <c r="AV30" s="34">
        <f>(INDEX(Assumptions!$C$52:$G$52,1,AV$4)+(INDEX(Assumptions!$C$52:$G$52,1,AV$4)-IF(AV$4=1,Assumptions!$H$52,INDEX(Assumptions!$C$52:$G$52,1,MAX(1,AV$4-1))))*(AV$5-(AV$6+1)/2)/AV$6)*AV28</f>
        <v>8.6</v>
      </c>
      <c r="AW30" s="34">
        <f>(INDEX(Assumptions!$C$52:$G$52,1,AW$4)+(INDEX(Assumptions!$C$52:$G$52,1,AW$4)-IF(AW$4=1,Assumptions!$H$52,INDEX(Assumptions!$C$52:$G$52,1,MAX(1,AW$4-1))))*(AW$5-(AW$6+1)/2)/AW$6)*AW28</f>
        <v>8.733333333333333</v>
      </c>
      <c r="AX30" s="34">
        <f>(INDEX(Assumptions!$C$52:$G$52,1,AX$4)+(INDEX(Assumptions!$C$52:$G$52,1,AX$4)-IF(AX$4=1,Assumptions!$H$52,INDEX(Assumptions!$C$52:$G$52,1,MAX(1,AX$4-1))))*(AX$5-(AX$6+1)/2)/AX$6)*AX28</f>
        <v>8.866666666666667</v>
      </c>
      <c r="AY30" s="34">
        <f>(INDEX(Assumptions!$C$52:$G$52,1,AY$4)+(INDEX(Assumptions!$C$52:$G$52,1,AY$4)-IF(AY$4=1,Assumptions!$H$52,INDEX(Assumptions!$C$52:$G$52,1,MAX(1,AY$4-1))))*(AY$5-(AY$6+1)/2)/AY$6)*AY28</f>
        <v>9.0</v>
      </c>
      <c r="AZ30" s="34">
        <f>(INDEX(Assumptions!$C$52:$G$52,1,AZ$4)+(INDEX(Assumptions!$C$52:$G$52,1,AZ$4)-IF(AZ$4=1,Assumptions!$H$52,INDEX(Assumptions!$C$52:$G$52,1,MAX(1,AZ$4-1))))*(AZ$5-(AZ$6+1)/2)/AZ$6)*AZ28</f>
        <v>9.133333333333333</v>
      </c>
      <c r="BA30" s="34">
        <f>(INDEX(Assumptions!$C$52:$G$52,1,BA$4)+(INDEX(Assumptions!$C$52:$G$52,1,BA$4)-IF(BA$4=1,Assumptions!$H$52,INDEX(Assumptions!$C$52:$G$52,1,MAX(1,BA$4-1))))*(BA$5-(BA$6+1)/2)/BA$6)*BA28</f>
        <v>9.266666666666667</v>
      </c>
      <c r="BB30" s="34">
        <f>(INDEX(Assumptions!$C$52:$G$52,1,BB$4)+(INDEX(Assumptions!$C$52:$G$52,1,BB$4)-IF(BB$4=1,Assumptions!$H$52,INDEX(Assumptions!$C$52:$G$52,1,MAX(1,BB$4-1))))*(BB$5-(BB$6+1)/2)/BB$6)*BB28</f>
        <v>9.4</v>
      </c>
      <c r="BC30" s="34">
        <f>(INDEX(Assumptions!$C$52:$G$52,1,BC$4)+(INDEX(Assumptions!$C$52:$G$52,1,BC$4)-IF(BC$4=1,Assumptions!$H$52,INDEX(Assumptions!$C$52:$G$52,1,MAX(1,BC$4-1))))*(BC$5-(BC$6+1)/2)/BC$6)*BC28</f>
        <v>9.533333333333333</v>
      </c>
    </row>
    <row r="31">
      <c r="A31" s="4" t="inlineStr">
        <is>
          <t>Heads: Installer network &amp; partnerships</t>
        </is>
      </c>
      <c r="B31" s="2" t="inlineStr">
        <is>
          <t>people (ramp)</t>
        </is>
      </c>
      <c r="C31" s="34">
        <f>(INDEX(Assumptions!$C$53:$G$53,1,C$4)+(INDEX(Assumptions!$C$53:$G$53,1,C$4)-IF(C$4=1,Assumptions!$H$53,INDEX(Assumptions!$C$53:$G$53,1,MAX(1,C$4-1))))*(C$5-(C$6+1)/2)/C$6)*C28</f>
        <v>1.2</v>
      </c>
      <c r="D31" s="34">
        <f>(INDEX(Assumptions!$C$53:$G$53,1,D$4)+(INDEX(Assumptions!$C$53:$G$53,1,D$4)-IF(D$4=1,Assumptions!$H$53,INDEX(Assumptions!$C$53:$G$53,1,MAX(1,D$4-1))))*(D$5-(D$6+1)/2)/D$6)*D28</f>
        <v>1.6</v>
      </c>
      <c r="E31" s="34">
        <f>(INDEX(Assumptions!$C$53:$G$53,1,E$4)+(INDEX(Assumptions!$C$53:$G$53,1,E$4)-IF(E$4=1,Assumptions!$H$53,INDEX(Assumptions!$C$53:$G$53,1,MAX(1,E$4-1))))*(E$5-(E$6+1)/2)/E$6)*E28</f>
        <v>2.0</v>
      </c>
      <c r="F31" s="34">
        <f>(INDEX(Assumptions!$C$53:$G$53,1,F$4)+(INDEX(Assumptions!$C$53:$G$53,1,F$4)-IF(F$4=1,Assumptions!$H$53,INDEX(Assumptions!$C$53:$G$53,1,MAX(1,F$4-1))))*(F$5-(F$6+1)/2)/F$6)*F28</f>
        <v>2.4</v>
      </c>
      <c r="G31" s="34">
        <f>(INDEX(Assumptions!$C$53:$G$53,1,G$4)+(INDEX(Assumptions!$C$53:$G$53,1,G$4)-IF(G$4=1,Assumptions!$H$53,INDEX(Assumptions!$C$53:$G$53,1,MAX(1,G$4-1))))*(G$5-(G$6+1)/2)/G$6)*G28</f>
        <v>2.8</v>
      </c>
      <c r="H31" s="34">
        <f>(INDEX(Assumptions!$C$53:$G$53,1,H$4)+(INDEX(Assumptions!$C$53:$G$53,1,H$4)-IF(H$4=1,Assumptions!$H$53,INDEX(Assumptions!$C$53:$G$53,1,MAX(1,H$4-1))))*(H$5-(H$6+1)/2)/H$6)*H28</f>
        <v>2.9000000000000004</v>
      </c>
      <c r="I31" s="34">
        <f>(INDEX(Assumptions!$C$53:$G$53,1,I$4)+(INDEX(Assumptions!$C$53:$G$53,1,I$4)-IF(I$4=1,Assumptions!$H$53,INDEX(Assumptions!$C$53:$G$53,1,MAX(1,I$4-1))))*(I$5-(I$6+1)/2)/I$6)*I28</f>
        <v>3.1</v>
      </c>
      <c r="J31" s="34">
        <f>(INDEX(Assumptions!$C$53:$G$53,1,J$4)+(INDEX(Assumptions!$C$53:$G$53,1,J$4)-IF(J$4=1,Assumptions!$H$53,INDEX(Assumptions!$C$53:$G$53,1,MAX(1,J$4-1))))*(J$5-(J$6+1)/2)/J$6)*J28</f>
        <v>3.3000000000000003</v>
      </c>
      <c r="K31" s="34">
        <f>(INDEX(Assumptions!$C$53:$G$53,1,K$4)+(INDEX(Assumptions!$C$53:$G$53,1,K$4)-IF(K$4=1,Assumptions!$H$53,INDEX(Assumptions!$C$53:$G$53,1,MAX(1,K$4-1))))*(K$5-(K$6+1)/2)/K$6)*K28</f>
        <v>3.5</v>
      </c>
      <c r="L31" s="34">
        <f>(INDEX(Assumptions!$C$53:$G$53,1,L$4)+(INDEX(Assumptions!$C$53:$G$53,1,L$4)-IF(L$4=1,Assumptions!$H$53,INDEX(Assumptions!$C$53:$G$53,1,MAX(1,L$4-1))))*(L$5-(L$6+1)/2)/L$6)*L28</f>
        <v>3.7</v>
      </c>
      <c r="M31" s="34">
        <f>(INDEX(Assumptions!$C$53:$G$53,1,M$4)+(INDEX(Assumptions!$C$53:$G$53,1,M$4)-IF(M$4=1,Assumptions!$H$53,INDEX(Assumptions!$C$53:$G$53,1,MAX(1,M$4-1))))*(M$5-(M$6+1)/2)/M$6)*M28</f>
        <v>3.9000000000000004</v>
      </c>
      <c r="N31" s="34">
        <f>(INDEX(Assumptions!$C$53:$G$53,1,N$4)+(INDEX(Assumptions!$C$53:$G$53,1,N$4)-IF(N$4=1,Assumptions!$H$53,INDEX(Assumptions!$C$53:$G$53,1,MAX(1,N$4-1))))*(N$5-(N$6+1)/2)/N$6)*N28</f>
        <v>4.1000000000000005</v>
      </c>
      <c r="O31" s="34">
        <f>(INDEX(Assumptions!$C$53:$G$53,1,O$4)+(INDEX(Assumptions!$C$53:$G$53,1,O$4)-IF(O$4=1,Assumptions!$H$53,INDEX(Assumptions!$C$53:$G$53,1,MAX(1,O$4-1))))*(O$5-(O$6+1)/2)/O$6)*O28</f>
        <v>4.3</v>
      </c>
      <c r="P31" s="34">
        <f>(INDEX(Assumptions!$C$53:$G$53,1,P$4)+(INDEX(Assumptions!$C$53:$G$53,1,P$4)-IF(P$4=1,Assumptions!$H$53,INDEX(Assumptions!$C$53:$G$53,1,MAX(1,P$4-1))))*(P$5-(P$6+1)/2)/P$6)*P28</f>
        <v>4.5</v>
      </c>
      <c r="Q31" s="34">
        <f>(INDEX(Assumptions!$C$53:$G$53,1,Q$4)+(INDEX(Assumptions!$C$53:$G$53,1,Q$4)-IF(Q$4=1,Assumptions!$H$53,INDEX(Assumptions!$C$53:$G$53,1,MAX(1,Q$4-1))))*(Q$5-(Q$6+1)/2)/Q$6)*Q28</f>
        <v>4.7</v>
      </c>
      <c r="R31" s="34">
        <f>(INDEX(Assumptions!$C$53:$G$53,1,R$4)+(INDEX(Assumptions!$C$53:$G$53,1,R$4)-IF(R$4=1,Assumptions!$H$53,INDEX(Assumptions!$C$53:$G$53,1,MAX(1,R$4-1))))*(R$5-(R$6+1)/2)/R$6)*R28</f>
        <v>4.9</v>
      </c>
      <c r="S31" s="34">
        <f>(INDEX(Assumptions!$C$53:$G$53,1,S$4)+(INDEX(Assumptions!$C$53:$G$53,1,S$4)-IF(S$4=1,Assumptions!$H$53,INDEX(Assumptions!$C$53:$G$53,1,MAX(1,S$4-1))))*(S$5-(S$6+1)/2)/S$6)*S28</f>
        <v>5.1000000000000005</v>
      </c>
      <c r="T31" s="34">
        <f>(INDEX(Assumptions!$C$53:$G$53,1,T$4)+(INDEX(Assumptions!$C$53:$G$53,1,T$4)-IF(T$4=1,Assumptions!$H$53,INDEX(Assumptions!$C$53:$G$53,1,MAX(1,T$4-1))))*(T$5-(T$6+1)/2)/T$6)*T28</f>
        <v>5.733333333333334</v>
      </c>
      <c r="U31" s="34">
        <f>(INDEX(Assumptions!$C$53:$G$53,1,U$4)+(INDEX(Assumptions!$C$53:$G$53,1,U$4)-IF(U$4=1,Assumptions!$H$53,INDEX(Assumptions!$C$53:$G$53,1,MAX(1,U$4-1))))*(U$5-(U$6+1)/2)/U$6)*U28</f>
        <v>6.0</v>
      </c>
      <c r="V31" s="34">
        <f>(INDEX(Assumptions!$C$53:$G$53,1,V$4)+(INDEX(Assumptions!$C$53:$G$53,1,V$4)-IF(V$4=1,Assumptions!$H$53,INDEX(Assumptions!$C$53:$G$53,1,MAX(1,V$4-1))))*(V$5-(V$6+1)/2)/V$6)*V28</f>
        <v>6.266666666666667</v>
      </c>
      <c r="W31" s="34">
        <f>(INDEX(Assumptions!$C$53:$G$53,1,W$4)+(INDEX(Assumptions!$C$53:$G$53,1,W$4)-IF(W$4=1,Assumptions!$H$53,INDEX(Assumptions!$C$53:$G$53,1,MAX(1,W$4-1))))*(W$5-(W$6+1)/2)/W$6)*W28</f>
        <v>6.533333333333333</v>
      </c>
      <c r="X31" s="34">
        <f>(INDEX(Assumptions!$C$53:$G$53,1,X$4)+(INDEX(Assumptions!$C$53:$G$53,1,X$4)-IF(X$4=1,Assumptions!$H$53,INDEX(Assumptions!$C$53:$G$53,1,MAX(1,X$4-1))))*(X$5-(X$6+1)/2)/X$6)*X28</f>
        <v>6.800000000000001</v>
      </c>
      <c r="Y31" s="34">
        <f>(INDEX(Assumptions!$C$53:$G$53,1,Y$4)+(INDEX(Assumptions!$C$53:$G$53,1,Y$4)-IF(Y$4=1,Assumptions!$H$53,INDEX(Assumptions!$C$53:$G$53,1,MAX(1,Y$4-1))))*(Y$5-(Y$6+1)/2)/Y$6)*Y28</f>
        <v>7.066666666666667</v>
      </c>
      <c r="Z31" s="34">
        <f>(INDEX(Assumptions!$C$53:$G$53,1,Z$4)+(INDEX(Assumptions!$C$53:$G$53,1,Z$4)-IF(Z$4=1,Assumptions!$H$53,INDEX(Assumptions!$C$53:$G$53,1,MAX(1,Z$4-1))))*(Z$5-(Z$6+1)/2)/Z$6)*Z28</f>
        <v>7.333333333333333</v>
      </c>
      <c r="AA31" s="34">
        <f>(INDEX(Assumptions!$C$53:$G$53,1,AA$4)+(INDEX(Assumptions!$C$53:$G$53,1,AA$4)-IF(AA$4=1,Assumptions!$H$53,INDEX(Assumptions!$C$53:$G$53,1,MAX(1,AA$4-1))))*(AA$5-(AA$6+1)/2)/AA$6)*AA28</f>
        <v>7.6000000000000005</v>
      </c>
      <c r="AB31" s="34">
        <f>(INDEX(Assumptions!$C$53:$G$53,1,AB$4)+(INDEX(Assumptions!$C$53:$G$53,1,AB$4)-IF(AB$4=1,Assumptions!$H$53,INDEX(Assumptions!$C$53:$G$53,1,MAX(1,AB$4-1))))*(AB$5-(AB$6+1)/2)/AB$6)*AB28</f>
        <v>7.866666666666667</v>
      </c>
      <c r="AC31" s="34">
        <f>(INDEX(Assumptions!$C$53:$G$53,1,AC$4)+(INDEX(Assumptions!$C$53:$G$53,1,AC$4)-IF(AC$4=1,Assumptions!$H$53,INDEX(Assumptions!$C$53:$G$53,1,MAX(1,AC$4-1))))*(AC$5-(AC$6+1)/2)/AC$6)*AC28</f>
        <v>8.133333333333333</v>
      </c>
      <c r="AD31" s="34">
        <f>(INDEX(Assumptions!$C$53:$G$53,1,AD$4)+(INDEX(Assumptions!$C$53:$G$53,1,AD$4)-IF(AD$4=1,Assumptions!$H$53,INDEX(Assumptions!$C$53:$G$53,1,MAX(1,AD$4-1))))*(AD$5-(AD$6+1)/2)/AD$6)*AD28</f>
        <v>8.4</v>
      </c>
      <c r="AE31" s="34">
        <f>(INDEX(Assumptions!$C$53:$G$53,1,AE$4)+(INDEX(Assumptions!$C$53:$G$53,1,AE$4)-IF(AE$4=1,Assumptions!$H$53,INDEX(Assumptions!$C$53:$G$53,1,MAX(1,AE$4-1))))*(AE$5-(AE$6+1)/2)/AE$6)*AE28</f>
        <v>8.666666666666668</v>
      </c>
      <c r="AF31" s="34">
        <f>(INDEX(Assumptions!$C$53:$G$53,1,AF$4)+(INDEX(Assumptions!$C$53:$G$53,1,AF$4)-IF(AF$4=1,Assumptions!$H$53,INDEX(Assumptions!$C$53:$G$53,1,MAX(1,AF$4-1))))*(AF$5-(AF$6+1)/2)/AF$6)*AF28</f>
        <v>8.5</v>
      </c>
      <c r="AG31" s="34">
        <f>(INDEX(Assumptions!$C$53:$G$53,1,AG$4)+(INDEX(Assumptions!$C$53:$G$53,1,AG$4)-IF(AG$4=1,Assumptions!$H$53,INDEX(Assumptions!$C$53:$G$53,1,MAX(1,AG$4-1))))*(AG$5-(AG$6+1)/2)/AG$6)*AG28</f>
        <v>8.700000000000001</v>
      </c>
      <c r="AH31" s="34">
        <f>(INDEX(Assumptions!$C$53:$G$53,1,AH$4)+(INDEX(Assumptions!$C$53:$G$53,1,AH$4)-IF(AH$4=1,Assumptions!$H$53,INDEX(Assumptions!$C$53:$G$53,1,MAX(1,AH$4-1))))*(AH$5-(AH$6+1)/2)/AH$6)*AH28</f>
        <v>8.9</v>
      </c>
      <c r="AI31" s="34">
        <f>(INDEX(Assumptions!$C$53:$G$53,1,AI$4)+(INDEX(Assumptions!$C$53:$G$53,1,AI$4)-IF(AI$4=1,Assumptions!$H$53,INDEX(Assumptions!$C$53:$G$53,1,MAX(1,AI$4-1))))*(AI$5-(AI$6+1)/2)/AI$6)*AI28</f>
        <v>9.1</v>
      </c>
      <c r="AJ31" s="34">
        <f>(INDEX(Assumptions!$C$53:$G$53,1,AJ$4)+(INDEX(Assumptions!$C$53:$G$53,1,AJ$4)-IF(AJ$4=1,Assumptions!$H$53,INDEX(Assumptions!$C$53:$G$53,1,MAX(1,AJ$4-1))))*(AJ$5-(AJ$6+1)/2)/AJ$6)*AJ28</f>
        <v>9.3</v>
      </c>
      <c r="AK31" s="34">
        <f>(INDEX(Assumptions!$C$53:$G$53,1,AK$4)+(INDEX(Assumptions!$C$53:$G$53,1,AK$4)-IF(AK$4=1,Assumptions!$H$53,INDEX(Assumptions!$C$53:$G$53,1,MAX(1,AK$4-1))))*(AK$5-(AK$6+1)/2)/AK$6)*AK28</f>
        <v>9.5</v>
      </c>
      <c r="AL31" s="34">
        <f>(INDEX(Assumptions!$C$53:$G$53,1,AL$4)+(INDEX(Assumptions!$C$53:$G$53,1,AL$4)-IF(AL$4=1,Assumptions!$H$53,INDEX(Assumptions!$C$53:$G$53,1,MAX(1,AL$4-1))))*(AL$5-(AL$6+1)/2)/AL$6)*AL28</f>
        <v>9.700000000000001</v>
      </c>
      <c r="AM31" s="34">
        <f>(INDEX(Assumptions!$C$53:$G$53,1,AM$4)+(INDEX(Assumptions!$C$53:$G$53,1,AM$4)-IF(AM$4=1,Assumptions!$H$53,INDEX(Assumptions!$C$53:$G$53,1,MAX(1,AM$4-1))))*(AM$5-(AM$6+1)/2)/AM$6)*AM28</f>
        <v>9.9</v>
      </c>
      <c r="AN31" s="34">
        <f>(INDEX(Assumptions!$C$53:$G$53,1,AN$4)+(INDEX(Assumptions!$C$53:$G$53,1,AN$4)-IF(AN$4=1,Assumptions!$H$53,INDEX(Assumptions!$C$53:$G$53,1,MAX(1,AN$4-1))))*(AN$5-(AN$6+1)/2)/AN$6)*AN28</f>
        <v>10.100000000000001</v>
      </c>
      <c r="AO31" s="34">
        <f>(INDEX(Assumptions!$C$53:$G$53,1,AO$4)+(INDEX(Assumptions!$C$53:$G$53,1,AO$4)-IF(AO$4=1,Assumptions!$H$53,INDEX(Assumptions!$C$53:$G$53,1,MAX(1,AO$4-1))))*(AO$5-(AO$6+1)/2)/AO$6)*AO28</f>
        <v>10.3</v>
      </c>
      <c r="AP31" s="34">
        <f>(INDEX(Assumptions!$C$53:$G$53,1,AP$4)+(INDEX(Assumptions!$C$53:$G$53,1,AP$4)-IF(AP$4=1,Assumptions!$H$53,INDEX(Assumptions!$C$53:$G$53,1,MAX(1,AP$4-1))))*(AP$5-(AP$6+1)/2)/AP$6)*AP28</f>
        <v>10.5</v>
      </c>
      <c r="AQ31" s="34">
        <f>(INDEX(Assumptions!$C$53:$G$53,1,AQ$4)+(INDEX(Assumptions!$C$53:$G$53,1,AQ$4)-IF(AQ$4=1,Assumptions!$H$53,INDEX(Assumptions!$C$53:$G$53,1,MAX(1,AQ$4-1))))*(AQ$5-(AQ$6+1)/2)/AQ$6)*AQ28</f>
        <v>10.700000000000001</v>
      </c>
      <c r="AR31" s="34">
        <f>(INDEX(Assumptions!$C$53:$G$53,1,AR$4)+(INDEX(Assumptions!$C$53:$G$53,1,AR$4)-IF(AR$4=1,Assumptions!$H$53,INDEX(Assumptions!$C$53:$G$53,1,MAX(1,AR$4-1))))*(AR$5-(AR$6+1)/2)/AR$6)*AR28</f>
        <v>10.9</v>
      </c>
      <c r="AS31" s="34">
        <f>(INDEX(Assumptions!$C$53:$G$53,1,AS$4)+(INDEX(Assumptions!$C$53:$G$53,1,AS$4)-IF(AS$4=1,Assumptions!$H$53,INDEX(Assumptions!$C$53:$G$53,1,MAX(1,AS$4-1))))*(AS$5-(AS$6+1)/2)/AS$6)*AS28</f>
        <v>11.100000000000001</v>
      </c>
      <c r="AT31" s="34">
        <f>(INDEX(Assumptions!$C$53:$G$53,1,AT$4)+(INDEX(Assumptions!$C$53:$G$53,1,AT$4)-IF(AT$4=1,Assumptions!$H$53,INDEX(Assumptions!$C$53:$G$53,1,MAX(1,AT$4-1))))*(AT$5-(AT$6+1)/2)/AT$6)*AT28</f>
        <v>11.3</v>
      </c>
      <c r="AU31" s="34">
        <f>(INDEX(Assumptions!$C$53:$G$53,1,AU$4)+(INDEX(Assumptions!$C$53:$G$53,1,AU$4)-IF(AU$4=1,Assumptions!$H$53,INDEX(Assumptions!$C$53:$G$53,1,MAX(1,AU$4-1))))*(AU$5-(AU$6+1)/2)/AU$6)*AU28</f>
        <v>11.5</v>
      </c>
      <c r="AV31" s="34">
        <f>(INDEX(Assumptions!$C$53:$G$53,1,AV$4)+(INDEX(Assumptions!$C$53:$G$53,1,AV$4)-IF(AV$4=1,Assumptions!$H$53,INDEX(Assumptions!$C$53:$G$53,1,MAX(1,AV$4-1))))*(AV$5-(AV$6+1)/2)/AV$6)*AV28</f>
        <v>11.700000000000001</v>
      </c>
      <c r="AW31" s="34">
        <f>(INDEX(Assumptions!$C$53:$G$53,1,AW$4)+(INDEX(Assumptions!$C$53:$G$53,1,AW$4)-IF(AW$4=1,Assumptions!$H$53,INDEX(Assumptions!$C$53:$G$53,1,MAX(1,AW$4-1))))*(AW$5-(AW$6+1)/2)/AW$6)*AW28</f>
        <v>11.9</v>
      </c>
      <c r="AX31" s="34">
        <f>(INDEX(Assumptions!$C$53:$G$53,1,AX$4)+(INDEX(Assumptions!$C$53:$G$53,1,AX$4)-IF(AX$4=1,Assumptions!$H$53,INDEX(Assumptions!$C$53:$G$53,1,MAX(1,AX$4-1))))*(AX$5-(AX$6+1)/2)/AX$6)*AX28</f>
        <v>12.100000000000001</v>
      </c>
      <c r="AY31" s="34">
        <f>(INDEX(Assumptions!$C$53:$G$53,1,AY$4)+(INDEX(Assumptions!$C$53:$G$53,1,AY$4)-IF(AY$4=1,Assumptions!$H$53,INDEX(Assumptions!$C$53:$G$53,1,MAX(1,AY$4-1))))*(AY$5-(AY$6+1)/2)/AY$6)*AY28</f>
        <v>12.3</v>
      </c>
      <c r="AZ31" s="34">
        <f>(INDEX(Assumptions!$C$53:$G$53,1,AZ$4)+(INDEX(Assumptions!$C$53:$G$53,1,AZ$4)-IF(AZ$4=1,Assumptions!$H$53,INDEX(Assumptions!$C$53:$G$53,1,MAX(1,AZ$4-1))))*(AZ$5-(AZ$6+1)/2)/AZ$6)*AZ28</f>
        <v>12.5</v>
      </c>
      <c r="BA31" s="34">
        <f>(INDEX(Assumptions!$C$53:$G$53,1,BA$4)+(INDEX(Assumptions!$C$53:$G$53,1,BA$4)-IF(BA$4=1,Assumptions!$H$53,INDEX(Assumptions!$C$53:$G$53,1,MAX(1,BA$4-1))))*(BA$5-(BA$6+1)/2)/BA$6)*BA28</f>
        <v>12.700000000000001</v>
      </c>
      <c r="BB31" s="34">
        <f>(INDEX(Assumptions!$C$53:$G$53,1,BB$4)+(INDEX(Assumptions!$C$53:$G$53,1,BB$4)-IF(BB$4=1,Assumptions!$H$53,INDEX(Assumptions!$C$53:$G$53,1,MAX(1,BB$4-1))))*(BB$5-(BB$6+1)/2)/BB$6)*BB28</f>
        <v>12.9</v>
      </c>
      <c r="BC31" s="34">
        <f>(INDEX(Assumptions!$C$53:$G$53,1,BC$4)+(INDEX(Assumptions!$C$53:$G$53,1,BC$4)-IF(BC$4=1,Assumptions!$H$53,INDEX(Assumptions!$C$53:$G$53,1,MAX(1,BC$4-1))))*(BC$5-(BC$6+1)/2)/BC$6)*BC28</f>
        <v>13.100000000000001</v>
      </c>
    </row>
    <row r="32">
      <c r="A32" s="4" t="inlineStr">
        <is>
          <t>Heads: Customer &amp; installer support</t>
        </is>
      </c>
      <c r="B32" s="2" t="inlineStr">
        <is>
          <t>people (ramp)</t>
        </is>
      </c>
      <c r="C32" s="34">
        <f>(INDEX(Assumptions!$C$54:$G$54,1,C$4)+(INDEX(Assumptions!$C$54:$G$54,1,C$4)-IF(C$4=1,Assumptions!$H$54,INDEX(Assumptions!$C$54:$G$54,1,MAX(1,C$4-1))))*(C$5-(C$6+1)/2)/C$6)*C28</f>
        <v>0.6</v>
      </c>
      <c r="D32" s="34">
        <f>(INDEX(Assumptions!$C$54:$G$54,1,D$4)+(INDEX(Assumptions!$C$54:$G$54,1,D$4)-IF(D$4=1,Assumptions!$H$54,INDEX(Assumptions!$C$54:$G$54,1,MAX(1,D$4-1))))*(D$5-(D$6+1)/2)/D$6)*D28</f>
        <v>0.8</v>
      </c>
      <c r="E32" s="34">
        <f>(INDEX(Assumptions!$C$54:$G$54,1,E$4)+(INDEX(Assumptions!$C$54:$G$54,1,E$4)-IF(E$4=1,Assumptions!$H$54,INDEX(Assumptions!$C$54:$G$54,1,MAX(1,E$4-1))))*(E$5-(E$6+1)/2)/E$6)*E28</f>
        <v>1.0</v>
      </c>
      <c r="F32" s="34">
        <f>(INDEX(Assumptions!$C$54:$G$54,1,F$4)+(INDEX(Assumptions!$C$54:$G$54,1,F$4)-IF(F$4=1,Assumptions!$H$54,INDEX(Assumptions!$C$54:$G$54,1,MAX(1,F$4-1))))*(F$5-(F$6+1)/2)/F$6)*F28</f>
        <v>1.2</v>
      </c>
      <c r="G32" s="34">
        <f>(INDEX(Assumptions!$C$54:$G$54,1,G$4)+(INDEX(Assumptions!$C$54:$G$54,1,G$4)-IF(G$4=1,Assumptions!$H$54,INDEX(Assumptions!$C$54:$G$54,1,MAX(1,G$4-1))))*(G$5-(G$6+1)/2)/G$6)*G28</f>
        <v>1.4</v>
      </c>
      <c r="H32" s="34">
        <f>(INDEX(Assumptions!$C$54:$G$54,1,H$4)+(INDEX(Assumptions!$C$54:$G$54,1,H$4)-IF(H$4=1,Assumptions!$H$54,INDEX(Assumptions!$C$54:$G$54,1,MAX(1,H$4-1))))*(H$5-(H$6+1)/2)/H$6)*H28</f>
        <v>1.666666666666667</v>
      </c>
      <c r="I32" s="34">
        <f>(INDEX(Assumptions!$C$54:$G$54,1,I$4)+(INDEX(Assumptions!$C$54:$G$54,1,I$4)-IF(I$4=1,Assumptions!$H$54,INDEX(Assumptions!$C$54:$G$54,1,MAX(1,I$4-1))))*(I$5-(I$6+1)/2)/I$6)*I28</f>
        <v>1.8</v>
      </c>
      <c r="J32" s="34">
        <f>(INDEX(Assumptions!$C$54:$G$54,1,J$4)+(INDEX(Assumptions!$C$54:$G$54,1,J$4)-IF(J$4=1,Assumptions!$H$54,INDEX(Assumptions!$C$54:$G$54,1,MAX(1,J$4-1))))*(J$5-(J$6+1)/2)/J$6)*J28</f>
        <v>1.9333333333333333</v>
      </c>
      <c r="K32" s="34">
        <f>(INDEX(Assumptions!$C$54:$G$54,1,K$4)+(INDEX(Assumptions!$C$54:$G$54,1,K$4)-IF(K$4=1,Assumptions!$H$54,INDEX(Assumptions!$C$54:$G$54,1,MAX(1,K$4-1))))*(K$5-(K$6+1)/2)/K$6)*K28</f>
        <v>2.066666666666667</v>
      </c>
      <c r="L32" s="34">
        <f>(INDEX(Assumptions!$C$54:$G$54,1,L$4)+(INDEX(Assumptions!$C$54:$G$54,1,L$4)-IF(L$4=1,Assumptions!$H$54,INDEX(Assumptions!$C$54:$G$54,1,MAX(1,L$4-1))))*(L$5-(L$6+1)/2)/L$6)*L28</f>
        <v>2.2</v>
      </c>
      <c r="M32" s="34">
        <f>(INDEX(Assumptions!$C$54:$G$54,1,M$4)+(INDEX(Assumptions!$C$54:$G$54,1,M$4)-IF(M$4=1,Assumptions!$H$54,INDEX(Assumptions!$C$54:$G$54,1,MAX(1,M$4-1))))*(M$5-(M$6+1)/2)/M$6)*M28</f>
        <v>2.3333333333333335</v>
      </c>
      <c r="N32" s="34">
        <f>(INDEX(Assumptions!$C$54:$G$54,1,N$4)+(INDEX(Assumptions!$C$54:$G$54,1,N$4)-IF(N$4=1,Assumptions!$H$54,INDEX(Assumptions!$C$54:$G$54,1,MAX(1,N$4-1))))*(N$5-(N$6+1)/2)/N$6)*N28</f>
        <v>2.466666666666667</v>
      </c>
      <c r="O32" s="34">
        <f>(INDEX(Assumptions!$C$54:$G$54,1,O$4)+(INDEX(Assumptions!$C$54:$G$54,1,O$4)-IF(O$4=1,Assumptions!$H$54,INDEX(Assumptions!$C$54:$G$54,1,MAX(1,O$4-1))))*(O$5-(O$6+1)/2)/O$6)*O28</f>
        <v>2.6</v>
      </c>
      <c r="P32" s="34">
        <f>(INDEX(Assumptions!$C$54:$G$54,1,P$4)+(INDEX(Assumptions!$C$54:$G$54,1,P$4)-IF(P$4=1,Assumptions!$H$54,INDEX(Assumptions!$C$54:$G$54,1,MAX(1,P$4-1))))*(P$5-(P$6+1)/2)/P$6)*P28</f>
        <v>2.7333333333333334</v>
      </c>
      <c r="Q32" s="34">
        <f>(INDEX(Assumptions!$C$54:$G$54,1,Q$4)+(INDEX(Assumptions!$C$54:$G$54,1,Q$4)-IF(Q$4=1,Assumptions!$H$54,INDEX(Assumptions!$C$54:$G$54,1,MAX(1,Q$4-1))))*(Q$5-(Q$6+1)/2)/Q$6)*Q28</f>
        <v>2.866666666666667</v>
      </c>
      <c r="R32" s="34">
        <f>(INDEX(Assumptions!$C$54:$G$54,1,R$4)+(INDEX(Assumptions!$C$54:$G$54,1,R$4)-IF(R$4=1,Assumptions!$H$54,INDEX(Assumptions!$C$54:$G$54,1,MAX(1,R$4-1))))*(R$5-(R$6+1)/2)/R$6)*R28</f>
        <v>3.0</v>
      </c>
      <c r="S32" s="34">
        <f>(INDEX(Assumptions!$C$54:$G$54,1,S$4)+(INDEX(Assumptions!$C$54:$G$54,1,S$4)-IF(S$4=1,Assumptions!$H$54,INDEX(Assumptions!$C$54:$G$54,1,MAX(1,S$4-1))))*(S$5-(S$6+1)/2)/S$6)*S28</f>
        <v>3.1333333333333333</v>
      </c>
      <c r="T32" s="34">
        <f>(INDEX(Assumptions!$C$54:$G$54,1,T$4)+(INDEX(Assumptions!$C$54:$G$54,1,T$4)-IF(T$4=1,Assumptions!$H$54,INDEX(Assumptions!$C$54:$G$54,1,MAX(1,T$4-1))))*(T$5-(T$6+1)/2)/T$6)*T28</f>
        <v>3.7</v>
      </c>
      <c r="U32" s="34">
        <f>(INDEX(Assumptions!$C$54:$G$54,1,U$4)+(INDEX(Assumptions!$C$54:$G$54,1,U$4)-IF(U$4=1,Assumptions!$H$54,INDEX(Assumptions!$C$54:$G$54,1,MAX(1,U$4-1))))*(U$5-(U$6+1)/2)/U$6)*U28</f>
        <v>3.9000000000000004</v>
      </c>
      <c r="V32" s="34">
        <f>(INDEX(Assumptions!$C$54:$G$54,1,V$4)+(INDEX(Assumptions!$C$54:$G$54,1,V$4)-IF(V$4=1,Assumptions!$H$54,INDEX(Assumptions!$C$54:$G$54,1,MAX(1,V$4-1))))*(V$5-(V$6+1)/2)/V$6)*V28</f>
        <v>4.1000000000000005</v>
      </c>
      <c r="W32" s="34">
        <f>(INDEX(Assumptions!$C$54:$G$54,1,W$4)+(INDEX(Assumptions!$C$54:$G$54,1,W$4)-IF(W$4=1,Assumptions!$H$54,INDEX(Assumptions!$C$54:$G$54,1,MAX(1,W$4-1))))*(W$5-(W$6+1)/2)/W$6)*W28</f>
        <v>4.3</v>
      </c>
      <c r="X32" s="34">
        <f>(INDEX(Assumptions!$C$54:$G$54,1,X$4)+(INDEX(Assumptions!$C$54:$G$54,1,X$4)-IF(X$4=1,Assumptions!$H$54,INDEX(Assumptions!$C$54:$G$54,1,MAX(1,X$4-1))))*(X$5-(X$6+1)/2)/X$6)*X28</f>
        <v>4.5</v>
      </c>
      <c r="Y32" s="34">
        <f>(INDEX(Assumptions!$C$54:$G$54,1,Y$4)+(INDEX(Assumptions!$C$54:$G$54,1,Y$4)-IF(Y$4=1,Assumptions!$H$54,INDEX(Assumptions!$C$54:$G$54,1,MAX(1,Y$4-1))))*(Y$5-(Y$6+1)/2)/Y$6)*Y28</f>
        <v>4.7</v>
      </c>
      <c r="Z32" s="34">
        <f>(INDEX(Assumptions!$C$54:$G$54,1,Z$4)+(INDEX(Assumptions!$C$54:$G$54,1,Z$4)-IF(Z$4=1,Assumptions!$H$54,INDEX(Assumptions!$C$54:$G$54,1,MAX(1,Z$4-1))))*(Z$5-(Z$6+1)/2)/Z$6)*Z28</f>
        <v>4.9</v>
      </c>
      <c r="AA32" s="34">
        <f>(INDEX(Assumptions!$C$54:$G$54,1,AA$4)+(INDEX(Assumptions!$C$54:$G$54,1,AA$4)-IF(AA$4=1,Assumptions!$H$54,INDEX(Assumptions!$C$54:$G$54,1,MAX(1,AA$4-1))))*(AA$5-(AA$6+1)/2)/AA$6)*AA28</f>
        <v>5.1000000000000005</v>
      </c>
      <c r="AB32" s="34">
        <f>(INDEX(Assumptions!$C$54:$G$54,1,AB$4)+(INDEX(Assumptions!$C$54:$G$54,1,AB$4)-IF(AB$4=1,Assumptions!$H$54,INDEX(Assumptions!$C$54:$G$54,1,MAX(1,AB$4-1))))*(AB$5-(AB$6+1)/2)/AB$6)*AB28</f>
        <v>5.300000000000001</v>
      </c>
      <c r="AC32" s="34">
        <f>(INDEX(Assumptions!$C$54:$G$54,1,AC$4)+(INDEX(Assumptions!$C$54:$G$54,1,AC$4)-IF(AC$4=1,Assumptions!$H$54,INDEX(Assumptions!$C$54:$G$54,1,MAX(1,AC$4-1))))*(AC$5-(AC$6+1)/2)/AC$6)*AC28</f>
        <v>5.5</v>
      </c>
      <c r="AD32" s="34">
        <f>(INDEX(Assumptions!$C$54:$G$54,1,AD$4)+(INDEX(Assumptions!$C$54:$G$54,1,AD$4)-IF(AD$4=1,Assumptions!$H$54,INDEX(Assumptions!$C$54:$G$54,1,MAX(1,AD$4-1))))*(AD$5-(AD$6+1)/2)/AD$6)*AD28</f>
        <v>5.7</v>
      </c>
      <c r="AE32" s="34">
        <f>(INDEX(Assumptions!$C$54:$G$54,1,AE$4)+(INDEX(Assumptions!$C$54:$G$54,1,AE$4)-IF(AE$4=1,Assumptions!$H$54,INDEX(Assumptions!$C$54:$G$54,1,MAX(1,AE$4-1))))*(AE$5-(AE$6+1)/2)/AE$6)*AE28</f>
        <v>5.9</v>
      </c>
      <c r="AF32" s="34">
        <f>(INDEX(Assumptions!$C$54:$G$54,1,AF$4)+(INDEX(Assumptions!$C$54:$G$54,1,AF$4)-IF(AF$4=1,Assumptions!$H$54,INDEX(Assumptions!$C$54:$G$54,1,MAX(1,AF$4-1))))*(AF$5-(AF$6+1)/2)/AF$6)*AF28</f>
        <v>6.1000000000000005</v>
      </c>
      <c r="AG32" s="34">
        <f>(INDEX(Assumptions!$C$54:$G$54,1,AG$4)+(INDEX(Assumptions!$C$54:$G$54,1,AG$4)-IF(AG$4=1,Assumptions!$H$54,INDEX(Assumptions!$C$54:$G$54,1,MAX(1,AG$4-1))))*(AG$5-(AG$6+1)/2)/AG$6)*AG28</f>
        <v>6.300000000000001</v>
      </c>
      <c r="AH32" s="34">
        <f>(INDEX(Assumptions!$C$54:$G$54,1,AH$4)+(INDEX(Assumptions!$C$54:$G$54,1,AH$4)-IF(AH$4=1,Assumptions!$H$54,INDEX(Assumptions!$C$54:$G$54,1,MAX(1,AH$4-1))))*(AH$5-(AH$6+1)/2)/AH$6)*AH28</f>
        <v>6.5</v>
      </c>
      <c r="AI32" s="34">
        <f>(INDEX(Assumptions!$C$54:$G$54,1,AI$4)+(INDEX(Assumptions!$C$54:$G$54,1,AI$4)-IF(AI$4=1,Assumptions!$H$54,INDEX(Assumptions!$C$54:$G$54,1,MAX(1,AI$4-1))))*(AI$5-(AI$6+1)/2)/AI$6)*AI28</f>
        <v>6.7</v>
      </c>
      <c r="AJ32" s="34">
        <f>(INDEX(Assumptions!$C$54:$G$54,1,AJ$4)+(INDEX(Assumptions!$C$54:$G$54,1,AJ$4)-IF(AJ$4=1,Assumptions!$H$54,INDEX(Assumptions!$C$54:$G$54,1,MAX(1,AJ$4-1))))*(AJ$5-(AJ$6+1)/2)/AJ$6)*AJ28</f>
        <v>6.9</v>
      </c>
      <c r="AK32" s="34">
        <f>(INDEX(Assumptions!$C$54:$G$54,1,AK$4)+(INDEX(Assumptions!$C$54:$G$54,1,AK$4)-IF(AK$4=1,Assumptions!$H$54,INDEX(Assumptions!$C$54:$G$54,1,MAX(1,AK$4-1))))*(AK$5-(AK$6+1)/2)/AK$6)*AK28</f>
        <v>7.1000000000000005</v>
      </c>
      <c r="AL32" s="34">
        <f>(INDEX(Assumptions!$C$54:$G$54,1,AL$4)+(INDEX(Assumptions!$C$54:$G$54,1,AL$4)-IF(AL$4=1,Assumptions!$H$54,INDEX(Assumptions!$C$54:$G$54,1,MAX(1,AL$4-1))))*(AL$5-(AL$6+1)/2)/AL$6)*AL28</f>
        <v>7.300000000000001</v>
      </c>
      <c r="AM32" s="34">
        <f>(INDEX(Assumptions!$C$54:$G$54,1,AM$4)+(INDEX(Assumptions!$C$54:$G$54,1,AM$4)-IF(AM$4=1,Assumptions!$H$54,INDEX(Assumptions!$C$54:$G$54,1,MAX(1,AM$4-1))))*(AM$5-(AM$6+1)/2)/AM$6)*AM28</f>
        <v>7.5</v>
      </c>
      <c r="AN32" s="34">
        <f>(INDEX(Assumptions!$C$54:$G$54,1,AN$4)+(INDEX(Assumptions!$C$54:$G$54,1,AN$4)-IF(AN$4=1,Assumptions!$H$54,INDEX(Assumptions!$C$54:$G$54,1,MAX(1,AN$4-1))))*(AN$5-(AN$6+1)/2)/AN$6)*AN28</f>
        <v>7.7</v>
      </c>
      <c r="AO32" s="34">
        <f>(INDEX(Assumptions!$C$54:$G$54,1,AO$4)+(INDEX(Assumptions!$C$54:$G$54,1,AO$4)-IF(AO$4=1,Assumptions!$H$54,INDEX(Assumptions!$C$54:$G$54,1,MAX(1,AO$4-1))))*(AO$5-(AO$6+1)/2)/AO$6)*AO28</f>
        <v>7.9</v>
      </c>
      <c r="AP32" s="34">
        <f>(INDEX(Assumptions!$C$54:$G$54,1,AP$4)+(INDEX(Assumptions!$C$54:$G$54,1,AP$4)-IF(AP$4=1,Assumptions!$H$54,INDEX(Assumptions!$C$54:$G$54,1,MAX(1,AP$4-1))))*(AP$5-(AP$6+1)/2)/AP$6)*AP28</f>
        <v>8.1</v>
      </c>
      <c r="AQ32" s="34">
        <f>(INDEX(Assumptions!$C$54:$G$54,1,AQ$4)+(INDEX(Assumptions!$C$54:$G$54,1,AQ$4)-IF(AQ$4=1,Assumptions!$H$54,INDEX(Assumptions!$C$54:$G$54,1,MAX(1,AQ$4-1))))*(AQ$5-(AQ$6+1)/2)/AQ$6)*AQ28</f>
        <v>8.3</v>
      </c>
      <c r="AR32" s="34">
        <f>(INDEX(Assumptions!$C$54:$G$54,1,AR$4)+(INDEX(Assumptions!$C$54:$G$54,1,AR$4)-IF(AR$4=1,Assumptions!$H$54,INDEX(Assumptions!$C$54:$G$54,1,MAX(1,AR$4-1))))*(AR$5-(AR$6+1)/2)/AR$6)*AR28</f>
        <v>8.5</v>
      </c>
      <c r="AS32" s="34">
        <f>(INDEX(Assumptions!$C$54:$G$54,1,AS$4)+(INDEX(Assumptions!$C$54:$G$54,1,AS$4)-IF(AS$4=1,Assumptions!$H$54,INDEX(Assumptions!$C$54:$G$54,1,MAX(1,AS$4-1))))*(AS$5-(AS$6+1)/2)/AS$6)*AS28</f>
        <v>8.700000000000001</v>
      </c>
      <c r="AT32" s="34">
        <f>(INDEX(Assumptions!$C$54:$G$54,1,AT$4)+(INDEX(Assumptions!$C$54:$G$54,1,AT$4)-IF(AT$4=1,Assumptions!$H$54,INDEX(Assumptions!$C$54:$G$54,1,MAX(1,AT$4-1))))*(AT$5-(AT$6+1)/2)/AT$6)*AT28</f>
        <v>8.9</v>
      </c>
      <c r="AU32" s="34">
        <f>(INDEX(Assumptions!$C$54:$G$54,1,AU$4)+(INDEX(Assumptions!$C$54:$G$54,1,AU$4)-IF(AU$4=1,Assumptions!$H$54,INDEX(Assumptions!$C$54:$G$54,1,MAX(1,AU$4-1))))*(AU$5-(AU$6+1)/2)/AU$6)*AU28</f>
        <v>9.1</v>
      </c>
      <c r="AV32" s="34">
        <f>(INDEX(Assumptions!$C$54:$G$54,1,AV$4)+(INDEX(Assumptions!$C$54:$G$54,1,AV$4)-IF(AV$4=1,Assumptions!$H$54,INDEX(Assumptions!$C$54:$G$54,1,MAX(1,AV$4-1))))*(AV$5-(AV$6+1)/2)/AV$6)*AV28</f>
        <v>9.3</v>
      </c>
      <c r="AW32" s="34">
        <f>(INDEX(Assumptions!$C$54:$G$54,1,AW$4)+(INDEX(Assumptions!$C$54:$G$54,1,AW$4)-IF(AW$4=1,Assumptions!$H$54,INDEX(Assumptions!$C$54:$G$54,1,MAX(1,AW$4-1))))*(AW$5-(AW$6+1)/2)/AW$6)*AW28</f>
        <v>9.5</v>
      </c>
      <c r="AX32" s="34">
        <f>(INDEX(Assumptions!$C$54:$G$54,1,AX$4)+(INDEX(Assumptions!$C$54:$G$54,1,AX$4)-IF(AX$4=1,Assumptions!$H$54,INDEX(Assumptions!$C$54:$G$54,1,MAX(1,AX$4-1))))*(AX$5-(AX$6+1)/2)/AX$6)*AX28</f>
        <v>9.700000000000001</v>
      </c>
      <c r="AY32" s="34">
        <f>(INDEX(Assumptions!$C$54:$G$54,1,AY$4)+(INDEX(Assumptions!$C$54:$G$54,1,AY$4)-IF(AY$4=1,Assumptions!$H$54,INDEX(Assumptions!$C$54:$G$54,1,MAX(1,AY$4-1))))*(AY$5-(AY$6+1)/2)/AY$6)*AY28</f>
        <v>9.9</v>
      </c>
      <c r="AZ32" s="34">
        <f>(INDEX(Assumptions!$C$54:$G$54,1,AZ$4)+(INDEX(Assumptions!$C$54:$G$54,1,AZ$4)-IF(AZ$4=1,Assumptions!$H$54,INDEX(Assumptions!$C$54:$G$54,1,MAX(1,AZ$4-1))))*(AZ$5-(AZ$6+1)/2)/AZ$6)*AZ28</f>
        <v>10.100000000000001</v>
      </c>
      <c r="BA32" s="34">
        <f>(INDEX(Assumptions!$C$54:$G$54,1,BA$4)+(INDEX(Assumptions!$C$54:$G$54,1,BA$4)-IF(BA$4=1,Assumptions!$H$54,INDEX(Assumptions!$C$54:$G$54,1,MAX(1,BA$4-1))))*(BA$5-(BA$6+1)/2)/BA$6)*BA28</f>
        <v>10.3</v>
      </c>
      <c r="BB32" s="34">
        <f>(INDEX(Assumptions!$C$54:$G$54,1,BB$4)+(INDEX(Assumptions!$C$54:$G$54,1,BB$4)-IF(BB$4=1,Assumptions!$H$54,INDEX(Assumptions!$C$54:$G$54,1,MAX(1,BB$4-1))))*(BB$5-(BB$6+1)/2)/BB$6)*BB28</f>
        <v>10.5</v>
      </c>
      <c r="BC32" s="34">
        <f>(INDEX(Assumptions!$C$54:$G$54,1,BC$4)+(INDEX(Assumptions!$C$54:$G$54,1,BC$4)-IF(BC$4=1,Assumptions!$H$54,INDEX(Assumptions!$C$54:$G$54,1,MAX(1,BC$4-1))))*(BC$5-(BC$6+1)/2)/BC$6)*BC28</f>
        <v>10.700000000000001</v>
      </c>
    </row>
    <row r="33">
      <c r="A33" s="4" t="inlineStr">
        <is>
          <t>Heads: State / DISCOM sales</t>
        </is>
      </c>
      <c r="B33" s="2" t="inlineStr">
        <is>
          <t>people (ramp)</t>
        </is>
      </c>
      <c r="C33" s="34">
        <f>(INDEX(Assumptions!$C$55:$G$55,1,C$4)+(INDEX(Assumptions!$C$55:$G$55,1,C$4)-IF(C$4=1,Assumptions!$H$55,INDEX(Assumptions!$C$55:$G$55,1,MAX(1,C$4-1))))*(C$5-(C$6+1)/2)/C$6)*C28</f>
        <v>0.0</v>
      </c>
      <c r="D33" s="34">
        <f>(INDEX(Assumptions!$C$55:$G$55,1,D$4)+(INDEX(Assumptions!$C$55:$G$55,1,D$4)-IF(D$4=1,Assumptions!$H$55,INDEX(Assumptions!$C$55:$G$55,1,MAX(1,D$4-1))))*(D$5-(D$6+1)/2)/D$6)*D28</f>
        <v>0.0</v>
      </c>
      <c r="E33" s="34">
        <f>(INDEX(Assumptions!$C$55:$G$55,1,E$4)+(INDEX(Assumptions!$C$55:$G$55,1,E$4)-IF(E$4=1,Assumptions!$H$55,INDEX(Assumptions!$C$55:$G$55,1,MAX(1,E$4-1))))*(E$5-(E$6+1)/2)/E$6)*E28</f>
        <v>0.0</v>
      </c>
      <c r="F33" s="34">
        <f>(INDEX(Assumptions!$C$55:$G$55,1,F$4)+(INDEX(Assumptions!$C$55:$G$55,1,F$4)-IF(F$4=1,Assumptions!$H$55,INDEX(Assumptions!$C$55:$G$55,1,MAX(1,F$4-1))))*(F$5-(F$6+1)/2)/F$6)*F28</f>
        <v>0.0</v>
      </c>
      <c r="G33" s="34">
        <f>(INDEX(Assumptions!$C$55:$G$55,1,G$4)+(INDEX(Assumptions!$C$55:$G$55,1,G$4)-IF(G$4=1,Assumptions!$H$55,INDEX(Assumptions!$C$55:$G$55,1,MAX(1,G$4-1))))*(G$5-(G$6+1)/2)/G$6)*G28</f>
        <v>0.0</v>
      </c>
      <c r="H33" s="34">
        <f>(INDEX(Assumptions!$C$55:$G$55,1,H$4)+(INDEX(Assumptions!$C$55:$G$55,1,H$4)-IF(H$4=1,Assumptions!$H$55,INDEX(Assumptions!$C$55:$G$55,1,MAX(1,H$4-1))))*(H$5-(H$6+1)/2)/H$6)*H28</f>
        <v>0.4333333333333334</v>
      </c>
      <c r="I33" s="34">
        <f>(INDEX(Assumptions!$C$55:$G$55,1,I$4)+(INDEX(Assumptions!$C$55:$G$55,1,I$4)-IF(I$4=1,Assumptions!$H$55,INDEX(Assumptions!$C$55:$G$55,1,MAX(1,I$4-1))))*(I$5-(I$6+1)/2)/I$6)*I28</f>
        <v>0.5</v>
      </c>
      <c r="J33" s="34">
        <f>(INDEX(Assumptions!$C$55:$G$55,1,J$4)+(INDEX(Assumptions!$C$55:$G$55,1,J$4)-IF(J$4=1,Assumptions!$H$55,INDEX(Assumptions!$C$55:$G$55,1,MAX(1,J$4-1))))*(J$5-(J$6+1)/2)/J$6)*J28</f>
        <v>0.5666666666666667</v>
      </c>
      <c r="K33" s="34">
        <f>(INDEX(Assumptions!$C$55:$G$55,1,K$4)+(INDEX(Assumptions!$C$55:$G$55,1,K$4)-IF(K$4=1,Assumptions!$H$55,INDEX(Assumptions!$C$55:$G$55,1,MAX(1,K$4-1))))*(K$5-(K$6+1)/2)/K$6)*K28</f>
        <v>0.6333333333333333</v>
      </c>
      <c r="L33" s="34">
        <f>(INDEX(Assumptions!$C$55:$G$55,1,L$4)+(INDEX(Assumptions!$C$55:$G$55,1,L$4)-IF(L$4=1,Assumptions!$H$55,INDEX(Assumptions!$C$55:$G$55,1,MAX(1,L$4-1))))*(L$5-(L$6+1)/2)/L$6)*L28</f>
        <v>0.7000000000000001</v>
      </c>
      <c r="M33" s="34">
        <f>(INDEX(Assumptions!$C$55:$G$55,1,M$4)+(INDEX(Assumptions!$C$55:$G$55,1,M$4)-IF(M$4=1,Assumptions!$H$55,INDEX(Assumptions!$C$55:$G$55,1,MAX(1,M$4-1))))*(M$5-(M$6+1)/2)/M$6)*M28</f>
        <v>0.7666666666666667</v>
      </c>
      <c r="N33" s="34">
        <f>(INDEX(Assumptions!$C$55:$G$55,1,N$4)+(INDEX(Assumptions!$C$55:$G$55,1,N$4)-IF(N$4=1,Assumptions!$H$55,INDEX(Assumptions!$C$55:$G$55,1,MAX(1,N$4-1))))*(N$5-(N$6+1)/2)/N$6)*N28</f>
        <v>0.8333333333333335</v>
      </c>
      <c r="O33" s="34">
        <f>(INDEX(Assumptions!$C$55:$G$55,1,O$4)+(INDEX(Assumptions!$C$55:$G$55,1,O$4)-IF(O$4=1,Assumptions!$H$55,INDEX(Assumptions!$C$55:$G$55,1,MAX(1,O$4-1))))*(O$5-(O$6+1)/2)/O$6)*O28</f>
        <v>0.9</v>
      </c>
      <c r="P33" s="34">
        <f>(INDEX(Assumptions!$C$55:$G$55,1,P$4)+(INDEX(Assumptions!$C$55:$G$55,1,P$4)-IF(P$4=1,Assumptions!$H$55,INDEX(Assumptions!$C$55:$G$55,1,MAX(1,P$4-1))))*(P$5-(P$6+1)/2)/P$6)*P28</f>
        <v>0.9666666666666667</v>
      </c>
      <c r="Q33" s="34">
        <f>(INDEX(Assumptions!$C$55:$G$55,1,Q$4)+(INDEX(Assumptions!$C$55:$G$55,1,Q$4)-IF(Q$4=1,Assumptions!$H$55,INDEX(Assumptions!$C$55:$G$55,1,MAX(1,Q$4-1))))*(Q$5-(Q$6+1)/2)/Q$6)*Q28</f>
        <v>1.0333333333333334</v>
      </c>
      <c r="R33" s="34">
        <f>(INDEX(Assumptions!$C$55:$G$55,1,R$4)+(INDEX(Assumptions!$C$55:$G$55,1,R$4)-IF(R$4=1,Assumptions!$H$55,INDEX(Assumptions!$C$55:$G$55,1,MAX(1,R$4-1))))*(R$5-(R$6+1)/2)/R$6)*R28</f>
        <v>1.1</v>
      </c>
      <c r="S33" s="34">
        <f>(INDEX(Assumptions!$C$55:$G$55,1,S$4)+(INDEX(Assumptions!$C$55:$G$55,1,S$4)-IF(S$4=1,Assumptions!$H$55,INDEX(Assumptions!$C$55:$G$55,1,MAX(1,S$4-1))))*(S$5-(S$6+1)/2)/S$6)*S28</f>
        <v>1.1666666666666667</v>
      </c>
      <c r="T33" s="34">
        <f>(INDEX(Assumptions!$C$55:$G$55,1,T$4)+(INDEX(Assumptions!$C$55:$G$55,1,T$4)-IF(T$4=1,Assumptions!$H$55,INDEX(Assumptions!$C$55:$G$55,1,MAX(1,T$4-1))))*(T$5-(T$6+1)/2)/T$6)*T28</f>
        <v>1.2333333333333334</v>
      </c>
      <c r="U33" s="34">
        <f>(INDEX(Assumptions!$C$55:$G$55,1,U$4)+(INDEX(Assumptions!$C$55:$G$55,1,U$4)-IF(U$4=1,Assumptions!$H$55,INDEX(Assumptions!$C$55:$G$55,1,MAX(1,U$4-1))))*(U$5-(U$6+1)/2)/U$6)*U28</f>
        <v>1.3</v>
      </c>
      <c r="V33" s="34">
        <f>(INDEX(Assumptions!$C$55:$G$55,1,V$4)+(INDEX(Assumptions!$C$55:$G$55,1,V$4)-IF(V$4=1,Assumptions!$H$55,INDEX(Assumptions!$C$55:$G$55,1,MAX(1,V$4-1))))*(V$5-(V$6+1)/2)/V$6)*V28</f>
        <v>1.3666666666666667</v>
      </c>
      <c r="W33" s="34">
        <f>(INDEX(Assumptions!$C$55:$G$55,1,W$4)+(INDEX(Assumptions!$C$55:$G$55,1,W$4)-IF(W$4=1,Assumptions!$H$55,INDEX(Assumptions!$C$55:$G$55,1,MAX(1,W$4-1))))*(W$5-(W$6+1)/2)/W$6)*W28</f>
        <v>1.4333333333333336</v>
      </c>
      <c r="X33" s="34">
        <f>(INDEX(Assumptions!$C$55:$G$55,1,X$4)+(INDEX(Assumptions!$C$55:$G$55,1,X$4)-IF(X$4=1,Assumptions!$H$55,INDEX(Assumptions!$C$55:$G$55,1,MAX(1,X$4-1))))*(X$5-(X$6+1)/2)/X$6)*X28</f>
        <v>1.5</v>
      </c>
      <c r="Y33" s="34">
        <f>(INDEX(Assumptions!$C$55:$G$55,1,Y$4)+(INDEX(Assumptions!$C$55:$G$55,1,Y$4)-IF(Y$4=1,Assumptions!$H$55,INDEX(Assumptions!$C$55:$G$55,1,MAX(1,Y$4-1))))*(Y$5-(Y$6+1)/2)/Y$6)*Y28</f>
        <v>1.5666666666666667</v>
      </c>
      <c r="Z33" s="34">
        <f>(INDEX(Assumptions!$C$55:$G$55,1,Z$4)+(INDEX(Assumptions!$C$55:$G$55,1,Z$4)-IF(Z$4=1,Assumptions!$H$55,INDEX(Assumptions!$C$55:$G$55,1,MAX(1,Z$4-1))))*(Z$5-(Z$6+1)/2)/Z$6)*Z28</f>
        <v>1.6333333333333333</v>
      </c>
      <c r="AA33" s="34">
        <f>(INDEX(Assumptions!$C$55:$G$55,1,AA$4)+(INDEX(Assumptions!$C$55:$G$55,1,AA$4)-IF(AA$4=1,Assumptions!$H$55,INDEX(Assumptions!$C$55:$G$55,1,MAX(1,AA$4-1))))*(AA$5-(AA$6+1)/2)/AA$6)*AA28</f>
        <v>1.7000000000000002</v>
      </c>
      <c r="AB33" s="34">
        <f>(INDEX(Assumptions!$C$55:$G$55,1,AB$4)+(INDEX(Assumptions!$C$55:$G$55,1,AB$4)-IF(AB$4=1,Assumptions!$H$55,INDEX(Assumptions!$C$55:$G$55,1,MAX(1,AB$4-1))))*(AB$5-(AB$6+1)/2)/AB$6)*AB28</f>
        <v>1.7666666666666668</v>
      </c>
      <c r="AC33" s="34">
        <f>(INDEX(Assumptions!$C$55:$G$55,1,AC$4)+(INDEX(Assumptions!$C$55:$G$55,1,AC$4)-IF(AC$4=1,Assumptions!$H$55,INDEX(Assumptions!$C$55:$G$55,1,MAX(1,AC$4-1))))*(AC$5-(AC$6+1)/2)/AC$6)*AC28</f>
        <v>1.8333333333333333</v>
      </c>
      <c r="AD33" s="34">
        <f>(INDEX(Assumptions!$C$55:$G$55,1,AD$4)+(INDEX(Assumptions!$C$55:$G$55,1,AD$4)-IF(AD$4=1,Assumptions!$H$55,INDEX(Assumptions!$C$55:$G$55,1,MAX(1,AD$4-1))))*(AD$5-(AD$6+1)/2)/AD$6)*AD28</f>
        <v>1.9000000000000001</v>
      </c>
      <c r="AE33" s="34">
        <f>(INDEX(Assumptions!$C$55:$G$55,1,AE$4)+(INDEX(Assumptions!$C$55:$G$55,1,AE$4)-IF(AE$4=1,Assumptions!$H$55,INDEX(Assumptions!$C$55:$G$55,1,MAX(1,AE$4-1))))*(AE$5-(AE$6+1)/2)/AE$6)*AE28</f>
        <v>1.9666666666666668</v>
      </c>
      <c r="AF33" s="34">
        <f>(INDEX(Assumptions!$C$55:$G$55,1,AF$4)+(INDEX(Assumptions!$C$55:$G$55,1,AF$4)-IF(AF$4=1,Assumptions!$H$55,INDEX(Assumptions!$C$55:$G$55,1,MAX(1,AF$4-1))))*(AF$5-(AF$6+1)/2)/AF$6)*AF28</f>
        <v>2.033333333333333</v>
      </c>
      <c r="AG33" s="34">
        <f>(INDEX(Assumptions!$C$55:$G$55,1,AG$4)+(INDEX(Assumptions!$C$55:$G$55,1,AG$4)-IF(AG$4=1,Assumptions!$H$55,INDEX(Assumptions!$C$55:$G$55,1,MAX(1,AG$4-1))))*(AG$5-(AG$6+1)/2)/AG$6)*AG28</f>
        <v>2.1</v>
      </c>
      <c r="AH33" s="34">
        <f>(INDEX(Assumptions!$C$55:$G$55,1,AH$4)+(INDEX(Assumptions!$C$55:$G$55,1,AH$4)-IF(AH$4=1,Assumptions!$H$55,INDEX(Assumptions!$C$55:$G$55,1,MAX(1,AH$4-1))))*(AH$5-(AH$6+1)/2)/AH$6)*AH28</f>
        <v>2.166666666666667</v>
      </c>
      <c r="AI33" s="34">
        <f>(INDEX(Assumptions!$C$55:$G$55,1,AI$4)+(INDEX(Assumptions!$C$55:$G$55,1,AI$4)-IF(AI$4=1,Assumptions!$H$55,INDEX(Assumptions!$C$55:$G$55,1,MAX(1,AI$4-1))))*(AI$5-(AI$6+1)/2)/AI$6)*AI28</f>
        <v>2.2333333333333334</v>
      </c>
      <c r="AJ33" s="34">
        <f>(INDEX(Assumptions!$C$55:$G$55,1,AJ$4)+(INDEX(Assumptions!$C$55:$G$55,1,AJ$4)-IF(AJ$4=1,Assumptions!$H$55,INDEX(Assumptions!$C$55:$G$55,1,MAX(1,AJ$4-1))))*(AJ$5-(AJ$6+1)/2)/AJ$6)*AJ28</f>
        <v>2.3000000000000003</v>
      </c>
      <c r="AK33" s="34">
        <f>(INDEX(Assumptions!$C$55:$G$55,1,AK$4)+(INDEX(Assumptions!$C$55:$G$55,1,AK$4)-IF(AK$4=1,Assumptions!$H$55,INDEX(Assumptions!$C$55:$G$55,1,MAX(1,AK$4-1))))*(AK$5-(AK$6+1)/2)/AK$6)*AK28</f>
        <v>2.3666666666666667</v>
      </c>
      <c r="AL33" s="34">
        <f>(INDEX(Assumptions!$C$55:$G$55,1,AL$4)+(INDEX(Assumptions!$C$55:$G$55,1,AL$4)-IF(AL$4=1,Assumptions!$H$55,INDEX(Assumptions!$C$55:$G$55,1,MAX(1,AL$4-1))))*(AL$5-(AL$6+1)/2)/AL$6)*AL28</f>
        <v>2.4333333333333336</v>
      </c>
      <c r="AM33" s="34">
        <f>(INDEX(Assumptions!$C$55:$G$55,1,AM$4)+(INDEX(Assumptions!$C$55:$G$55,1,AM$4)-IF(AM$4=1,Assumptions!$H$55,INDEX(Assumptions!$C$55:$G$55,1,MAX(1,AM$4-1))))*(AM$5-(AM$6+1)/2)/AM$6)*AM28</f>
        <v>2.5</v>
      </c>
      <c r="AN33" s="34">
        <f>(INDEX(Assumptions!$C$55:$G$55,1,AN$4)+(INDEX(Assumptions!$C$55:$G$55,1,AN$4)-IF(AN$4=1,Assumptions!$H$55,INDEX(Assumptions!$C$55:$G$55,1,MAX(1,AN$4-1))))*(AN$5-(AN$6+1)/2)/AN$6)*AN28</f>
        <v>2.566666666666667</v>
      </c>
      <c r="AO33" s="34">
        <f>(INDEX(Assumptions!$C$55:$G$55,1,AO$4)+(INDEX(Assumptions!$C$55:$G$55,1,AO$4)-IF(AO$4=1,Assumptions!$H$55,INDEX(Assumptions!$C$55:$G$55,1,MAX(1,AO$4-1))))*(AO$5-(AO$6+1)/2)/AO$6)*AO28</f>
        <v>2.6333333333333333</v>
      </c>
      <c r="AP33" s="34">
        <f>(INDEX(Assumptions!$C$55:$G$55,1,AP$4)+(INDEX(Assumptions!$C$55:$G$55,1,AP$4)-IF(AP$4=1,Assumptions!$H$55,INDEX(Assumptions!$C$55:$G$55,1,MAX(1,AP$4-1))))*(AP$5-(AP$6+1)/2)/AP$6)*AP28</f>
        <v>2.7</v>
      </c>
      <c r="AQ33" s="34">
        <f>(INDEX(Assumptions!$C$55:$G$55,1,AQ$4)+(INDEX(Assumptions!$C$55:$G$55,1,AQ$4)-IF(AQ$4=1,Assumptions!$H$55,INDEX(Assumptions!$C$55:$G$55,1,MAX(1,AQ$4-1))))*(AQ$5-(AQ$6+1)/2)/AQ$6)*AQ28</f>
        <v>2.766666666666667</v>
      </c>
      <c r="AR33" s="34">
        <f>(INDEX(Assumptions!$C$55:$G$55,1,AR$4)+(INDEX(Assumptions!$C$55:$G$55,1,AR$4)-IF(AR$4=1,Assumptions!$H$55,INDEX(Assumptions!$C$55:$G$55,1,MAX(1,AR$4-1))))*(AR$5-(AR$6+1)/2)/AR$6)*AR28</f>
        <v>2.8333333333333335</v>
      </c>
      <c r="AS33" s="34">
        <f>(INDEX(Assumptions!$C$55:$G$55,1,AS$4)+(INDEX(Assumptions!$C$55:$G$55,1,AS$4)-IF(AS$4=1,Assumptions!$H$55,INDEX(Assumptions!$C$55:$G$55,1,MAX(1,AS$4-1))))*(AS$5-(AS$6+1)/2)/AS$6)*AS28</f>
        <v>2.9000000000000004</v>
      </c>
      <c r="AT33" s="34">
        <f>(INDEX(Assumptions!$C$55:$G$55,1,AT$4)+(INDEX(Assumptions!$C$55:$G$55,1,AT$4)-IF(AT$4=1,Assumptions!$H$55,INDEX(Assumptions!$C$55:$G$55,1,MAX(1,AT$4-1))))*(AT$5-(AT$6+1)/2)/AT$6)*AT28</f>
        <v>2.966666666666667</v>
      </c>
      <c r="AU33" s="34">
        <f>(INDEX(Assumptions!$C$55:$G$55,1,AU$4)+(INDEX(Assumptions!$C$55:$G$55,1,AU$4)-IF(AU$4=1,Assumptions!$H$55,INDEX(Assumptions!$C$55:$G$55,1,MAX(1,AU$4-1))))*(AU$5-(AU$6+1)/2)/AU$6)*AU28</f>
        <v>3.033333333333333</v>
      </c>
      <c r="AV33" s="34">
        <f>(INDEX(Assumptions!$C$55:$G$55,1,AV$4)+(INDEX(Assumptions!$C$55:$G$55,1,AV$4)-IF(AV$4=1,Assumptions!$H$55,INDEX(Assumptions!$C$55:$G$55,1,MAX(1,AV$4-1))))*(AV$5-(AV$6+1)/2)/AV$6)*AV28</f>
        <v>3.1</v>
      </c>
      <c r="AW33" s="34">
        <f>(INDEX(Assumptions!$C$55:$G$55,1,AW$4)+(INDEX(Assumptions!$C$55:$G$55,1,AW$4)-IF(AW$4=1,Assumptions!$H$55,INDEX(Assumptions!$C$55:$G$55,1,MAX(1,AW$4-1))))*(AW$5-(AW$6+1)/2)/AW$6)*AW28</f>
        <v>3.166666666666667</v>
      </c>
      <c r="AX33" s="34">
        <f>(INDEX(Assumptions!$C$55:$G$55,1,AX$4)+(INDEX(Assumptions!$C$55:$G$55,1,AX$4)-IF(AX$4=1,Assumptions!$H$55,INDEX(Assumptions!$C$55:$G$55,1,MAX(1,AX$4-1))))*(AX$5-(AX$6+1)/2)/AX$6)*AX28</f>
        <v>3.233333333333334</v>
      </c>
      <c r="AY33" s="34">
        <f>(INDEX(Assumptions!$C$55:$G$55,1,AY$4)+(INDEX(Assumptions!$C$55:$G$55,1,AY$4)-IF(AY$4=1,Assumptions!$H$55,INDEX(Assumptions!$C$55:$G$55,1,MAX(1,AY$4-1))))*(AY$5-(AY$6+1)/2)/AY$6)*AY28</f>
        <v>3.3000000000000003</v>
      </c>
      <c r="AZ33" s="34">
        <f>(INDEX(Assumptions!$C$55:$G$55,1,AZ$4)+(INDEX(Assumptions!$C$55:$G$55,1,AZ$4)-IF(AZ$4=1,Assumptions!$H$55,INDEX(Assumptions!$C$55:$G$55,1,MAX(1,AZ$4-1))))*(AZ$5-(AZ$6+1)/2)/AZ$6)*AZ28</f>
        <v>3.3666666666666667</v>
      </c>
      <c r="BA33" s="34">
        <f>(INDEX(Assumptions!$C$55:$G$55,1,BA$4)+(INDEX(Assumptions!$C$55:$G$55,1,BA$4)-IF(BA$4=1,Assumptions!$H$55,INDEX(Assumptions!$C$55:$G$55,1,MAX(1,BA$4-1))))*(BA$5-(BA$6+1)/2)/BA$6)*BA28</f>
        <v>3.4333333333333336</v>
      </c>
      <c r="BB33" s="34">
        <f>(INDEX(Assumptions!$C$55:$G$55,1,BB$4)+(INDEX(Assumptions!$C$55:$G$55,1,BB$4)-IF(BB$4=1,Assumptions!$H$55,INDEX(Assumptions!$C$55:$G$55,1,MAX(1,BB$4-1))))*(BB$5-(BB$6+1)/2)/BB$6)*BB28</f>
        <v>3.5</v>
      </c>
      <c r="BC33" s="34">
        <f>(INDEX(Assumptions!$C$55:$G$55,1,BC$4)+(INDEX(Assumptions!$C$55:$G$55,1,BC$4)-IF(BC$4=1,Assumptions!$H$55,INDEX(Assumptions!$C$55:$G$55,1,MAX(1,BC$4-1))))*(BC$5-(BC$6+1)/2)/BC$6)*BC28</f>
        <v>3.5666666666666664</v>
      </c>
    </row>
    <row r="34">
      <c r="A34" s="4" t="inlineStr">
        <is>
          <t>Heads: G&amp;A (founder-CEO, finance, HR, legal)</t>
        </is>
      </c>
      <c r="B34" s="2" t="inlineStr">
        <is>
          <t>people (ramp)</t>
        </is>
      </c>
      <c r="C34" s="34">
        <f>(INDEX(Assumptions!$C$56:$G$56,1,C$4)+(INDEX(Assumptions!$C$56:$G$56,1,C$4)-IF(C$4=1,Assumptions!$H$56,INDEX(Assumptions!$C$56:$G$56,1,MAX(1,C$4-1))))*(C$5-(C$6+1)/2)/C$6)*C28</f>
        <v>1.0</v>
      </c>
      <c r="D34" s="34">
        <f>(INDEX(Assumptions!$C$56:$G$56,1,D$4)+(INDEX(Assumptions!$C$56:$G$56,1,D$4)-IF(D$4=1,Assumptions!$H$56,INDEX(Assumptions!$C$56:$G$56,1,MAX(1,D$4-1))))*(D$5-(D$6+1)/2)/D$6)*D28</f>
        <v>1.0</v>
      </c>
      <c r="E34" s="34">
        <f>(INDEX(Assumptions!$C$56:$G$56,1,E$4)+(INDEX(Assumptions!$C$56:$G$56,1,E$4)-IF(E$4=1,Assumptions!$H$56,INDEX(Assumptions!$C$56:$G$56,1,MAX(1,E$4-1))))*(E$5-(E$6+1)/2)/E$6)*E28</f>
        <v>1.0</v>
      </c>
      <c r="F34" s="34">
        <f>(INDEX(Assumptions!$C$56:$G$56,1,F$4)+(INDEX(Assumptions!$C$56:$G$56,1,F$4)-IF(F$4=1,Assumptions!$H$56,INDEX(Assumptions!$C$56:$G$56,1,MAX(1,F$4-1))))*(F$5-(F$6+1)/2)/F$6)*F28</f>
        <v>1.0</v>
      </c>
      <c r="G34" s="34">
        <f>(INDEX(Assumptions!$C$56:$G$56,1,G$4)+(INDEX(Assumptions!$C$56:$G$56,1,G$4)-IF(G$4=1,Assumptions!$H$56,INDEX(Assumptions!$C$56:$G$56,1,MAX(1,G$4-1))))*(G$5-(G$6+1)/2)/G$6)*G28</f>
        <v>1.0</v>
      </c>
      <c r="H34" s="34">
        <f>(INDEX(Assumptions!$C$56:$G$56,1,H$4)+(INDEX(Assumptions!$C$56:$G$56,1,H$4)-IF(H$4=1,Assumptions!$H$56,INDEX(Assumptions!$C$56:$G$56,1,MAX(1,H$4-1))))*(H$5-(H$6+1)/2)/H$6)*H28</f>
        <v>1.2333333333333334</v>
      </c>
      <c r="I34" s="34">
        <f>(INDEX(Assumptions!$C$56:$G$56,1,I$4)+(INDEX(Assumptions!$C$56:$G$56,1,I$4)-IF(I$4=1,Assumptions!$H$56,INDEX(Assumptions!$C$56:$G$56,1,MAX(1,I$4-1))))*(I$5-(I$6+1)/2)/I$6)*I28</f>
        <v>1.3</v>
      </c>
      <c r="J34" s="34">
        <f>(INDEX(Assumptions!$C$56:$G$56,1,J$4)+(INDEX(Assumptions!$C$56:$G$56,1,J$4)-IF(J$4=1,Assumptions!$H$56,INDEX(Assumptions!$C$56:$G$56,1,MAX(1,J$4-1))))*(J$5-(J$6+1)/2)/J$6)*J28</f>
        <v>1.3666666666666667</v>
      </c>
      <c r="K34" s="34">
        <f>(INDEX(Assumptions!$C$56:$G$56,1,K$4)+(INDEX(Assumptions!$C$56:$G$56,1,K$4)-IF(K$4=1,Assumptions!$H$56,INDEX(Assumptions!$C$56:$G$56,1,MAX(1,K$4-1))))*(K$5-(K$6+1)/2)/K$6)*K28</f>
        <v>1.4333333333333336</v>
      </c>
      <c r="L34" s="34">
        <f>(INDEX(Assumptions!$C$56:$G$56,1,L$4)+(INDEX(Assumptions!$C$56:$G$56,1,L$4)-IF(L$4=1,Assumptions!$H$56,INDEX(Assumptions!$C$56:$G$56,1,MAX(1,L$4-1))))*(L$5-(L$6+1)/2)/L$6)*L28</f>
        <v>1.5</v>
      </c>
      <c r="M34" s="34">
        <f>(INDEX(Assumptions!$C$56:$G$56,1,M$4)+(INDEX(Assumptions!$C$56:$G$56,1,M$4)-IF(M$4=1,Assumptions!$H$56,INDEX(Assumptions!$C$56:$G$56,1,MAX(1,M$4-1))))*(M$5-(M$6+1)/2)/M$6)*M28</f>
        <v>1.5666666666666667</v>
      </c>
      <c r="N34" s="34">
        <f>(INDEX(Assumptions!$C$56:$G$56,1,N$4)+(INDEX(Assumptions!$C$56:$G$56,1,N$4)-IF(N$4=1,Assumptions!$H$56,INDEX(Assumptions!$C$56:$G$56,1,MAX(1,N$4-1))))*(N$5-(N$6+1)/2)/N$6)*N28</f>
        <v>1.6333333333333333</v>
      </c>
      <c r="O34" s="34">
        <f>(INDEX(Assumptions!$C$56:$G$56,1,O$4)+(INDEX(Assumptions!$C$56:$G$56,1,O$4)-IF(O$4=1,Assumptions!$H$56,INDEX(Assumptions!$C$56:$G$56,1,MAX(1,O$4-1))))*(O$5-(O$6+1)/2)/O$6)*O28</f>
        <v>1.7000000000000002</v>
      </c>
      <c r="P34" s="34">
        <f>(INDEX(Assumptions!$C$56:$G$56,1,P$4)+(INDEX(Assumptions!$C$56:$G$56,1,P$4)-IF(P$4=1,Assumptions!$H$56,INDEX(Assumptions!$C$56:$G$56,1,MAX(1,P$4-1))))*(P$5-(P$6+1)/2)/P$6)*P28</f>
        <v>1.7666666666666668</v>
      </c>
      <c r="Q34" s="34">
        <f>(INDEX(Assumptions!$C$56:$G$56,1,Q$4)+(INDEX(Assumptions!$C$56:$G$56,1,Q$4)-IF(Q$4=1,Assumptions!$H$56,INDEX(Assumptions!$C$56:$G$56,1,MAX(1,Q$4-1))))*(Q$5-(Q$6+1)/2)/Q$6)*Q28</f>
        <v>1.8333333333333333</v>
      </c>
      <c r="R34" s="34">
        <f>(INDEX(Assumptions!$C$56:$G$56,1,R$4)+(INDEX(Assumptions!$C$56:$G$56,1,R$4)-IF(R$4=1,Assumptions!$H$56,INDEX(Assumptions!$C$56:$G$56,1,MAX(1,R$4-1))))*(R$5-(R$6+1)/2)/R$6)*R28</f>
        <v>1.9000000000000001</v>
      </c>
      <c r="S34" s="34">
        <f>(INDEX(Assumptions!$C$56:$G$56,1,S$4)+(INDEX(Assumptions!$C$56:$G$56,1,S$4)-IF(S$4=1,Assumptions!$H$56,INDEX(Assumptions!$C$56:$G$56,1,MAX(1,S$4-1))))*(S$5-(S$6+1)/2)/S$6)*S28</f>
        <v>1.9666666666666668</v>
      </c>
      <c r="T34" s="34">
        <f>(INDEX(Assumptions!$C$56:$G$56,1,T$4)+(INDEX(Assumptions!$C$56:$G$56,1,T$4)-IF(T$4=1,Assumptions!$H$56,INDEX(Assumptions!$C$56:$G$56,1,MAX(1,T$4-1))))*(T$5-(T$6+1)/2)/T$6)*T28</f>
        <v>2.466666666666667</v>
      </c>
      <c r="U34" s="34">
        <f>(INDEX(Assumptions!$C$56:$G$56,1,U$4)+(INDEX(Assumptions!$C$56:$G$56,1,U$4)-IF(U$4=1,Assumptions!$H$56,INDEX(Assumptions!$C$56:$G$56,1,MAX(1,U$4-1))))*(U$5-(U$6+1)/2)/U$6)*U28</f>
        <v>2.6</v>
      </c>
      <c r="V34" s="34">
        <f>(INDEX(Assumptions!$C$56:$G$56,1,V$4)+(INDEX(Assumptions!$C$56:$G$56,1,V$4)-IF(V$4=1,Assumptions!$H$56,INDEX(Assumptions!$C$56:$G$56,1,MAX(1,V$4-1))))*(V$5-(V$6+1)/2)/V$6)*V28</f>
        <v>2.7333333333333334</v>
      </c>
      <c r="W34" s="34">
        <f>(INDEX(Assumptions!$C$56:$G$56,1,W$4)+(INDEX(Assumptions!$C$56:$G$56,1,W$4)-IF(W$4=1,Assumptions!$H$56,INDEX(Assumptions!$C$56:$G$56,1,MAX(1,W$4-1))))*(W$5-(W$6+1)/2)/W$6)*W28</f>
        <v>2.866666666666667</v>
      </c>
      <c r="X34" s="34">
        <f>(INDEX(Assumptions!$C$56:$G$56,1,X$4)+(INDEX(Assumptions!$C$56:$G$56,1,X$4)-IF(X$4=1,Assumptions!$H$56,INDEX(Assumptions!$C$56:$G$56,1,MAX(1,X$4-1))))*(X$5-(X$6+1)/2)/X$6)*X28</f>
        <v>3.0</v>
      </c>
      <c r="Y34" s="34">
        <f>(INDEX(Assumptions!$C$56:$G$56,1,Y$4)+(INDEX(Assumptions!$C$56:$G$56,1,Y$4)-IF(Y$4=1,Assumptions!$H$56,INDEX(Assumptions!$C$56:$G$56,1,MAX(1,Y$4-1))))*(Y$5-(Y$6+1)/2)/Y$6)*Y28</f>
        <v>3.1333333333333333</v>
      </c>
      <c r="Z34" s="34">
        <f>(INDEX(Assumptions!$C$56:$G$56,1,Z$4)+(INDEX(Assumptions!$C$56:$G$56,1,Z$4)-IF(Z$4=1,Assumptions!$H$56,INDEX(Assumptions!$C$56:$G$56,1,MAX(1,Z$4-1))))*(Z$5-(Z$6+1)/2)/Z$6)*Z28</f>
        <v>3.2666666666666666</v>
      </c>
      <c r="AA34" s="34">
        <f>(INDEX(Assumptions!$C$56:$G$56,1,AA$4)+(INDEX(Assumptions!$C$56:$G$56,1,AA$4)-IF(AA$4=1,Assumptions!$H$56,INDEX(Assumptions!$C$56:$G$56,1,MAX(1,AA$4-1))))*(AA$5-(AA$6+1)/2)/AA$6)*AA28</f>
        <v>3.4000000000000004</v>
      </c>
      <c r="AB34" s="34">
        <f>(INDEX(Assumptions!$C$56:$G$56,1,AB$4)+(INDEX(Assumptions!$C$56:$G$56,1,AB$4)-IF(AB$4=1,Assumptions!$H$56,INDEX(Assumptions!$C$56:$G$56,1,MAX(1,AB$4-1))))*(AB$5-(AB$6+1)/2)/AB$6)*AB28</f>
        <v>3.5333333333333337</v>
      </c>
      <c r="AC34" s="34">
        <f>(INDEX(Assumptions!$C$56:$G$56,1,AC$4)+(INDEX(Assumptions!$C$56:$G$56,1,AC$4)-IF(AC$4=1,Assumptions!$H$56,INDEX(Assumptions!$C$56:$G$56,1,MAX(1,AC$4-1))))*(AC$5-(AC$6+1)/2)/AC$6)*AC28</f>
        <v>3.6666666666666665</v>
      </c>
      <c r="AD34" s="34">
        <f>(INDEX(Assumptions!$C$56:$G$56,1,AD$4)+(INDEX(Assumptions!$C$56:$G$56,1,AD$4)-IF(AD$4=1,Assumptions!$H$56,INDEX(Assumptions!$C$56:$G$56,1,MAX(1,AD$4-1))))*(AD$5-(AD$6+1)/2)/AD$6)*AD28</f>
        <v>3.8000000000000003</v>
      </c>
      <c r="AE34" s="34">
        <f>(INDEX(Assumptions!$C$56:$G$56,1,AE$4)+(INDEX(Assumptions!$C$56:$G$56,1,AE$4)-IF(AE$4=1,Assumptions!$H$56,INDEX(Assumptions!$C$56:$G$56,1,MAX(1,AE$4-1))))*(AE$5-(AE$6+1)/2)/AE$6)*AE28</f>
        <v>3.9333333333333336</v>
      </c>
      <c r="AF34" s="34">
        <f>(INDEX(Assumptions!$C$56:$G$56,1,AF$4)+(INDEX(Assumptions!$C$56:$G$56,1,AF$4)-IF(AF$4=1,Assumptions!$H$56,INDEX(Assumptions!$C$56:$G$56,1,MAX(1,AF$4-1))))*(AF$5-(AF$6+1)/2)/AF$6)*AF28</f>
        <v>4.066666666666666</v>
      </c>
      <c r="AG34" s="34">
        <f>(INDEX(Assumptions!$C$56:$G$56,1,AG$4)+(INDEX(Assumptions!$C$56:$G$56,1,AG$4)-IF(AG$4=1,Assumptions!$H$56,INDEX(Assumptions!$C$56:$G$56,1,MAX(1,AG$4-1))))*(AG$5-(AG$6+1)/2)/AG$6)*AG28</f>
        <v>4.2</v>
      </c>
      <c r="AH34" s="34">
        <f>(INDEX(Assumptions!$C$56:$G$56,1,AH$4)+(INDEX(Assumptions!$C$56:$G$56,1,AH$4)-IF(AH$4=1,Assumptions!$H$56,INDEX(Assumptions!$C$56:$G$56,1,MAX(1,AH$4-1))))*(AH$5-(AH$6+1)/2)/AH$6)*AH28</f>
        <v>4.333333333333334</v>
      </c>
      <c r="AI34" s="34">
        <f>(INDEX(Assumptions!$C$56:$G$56,1,AI$4)+(INDEX(Assumptions!$C$56:$G$56,1,AI$4)-IF(AI$4=1,Assumptions!$H$56,INDEX(Assumptions!$C$56:$G$56,1,MAX(1,AI$4-1))))*(AI$5-(AI$6+1)/2)/AI$6)*AI28</f>
        <v>4.466666666666667</v>
      </c>
      <c r="AJ34" s="34">
        <f>(INDEX(Assumptions!$C$56:$G$56,1,AJ$4)+(INDEX(Assumptions!$C$56:$G$56,1,AJ$4)-IF(AJ$4=1,Assumptions!$H$56,INDEX(Assumptions!$C$56:$G$56,1,MAX(1,AJ$4-1))))*(AJ$5-(AJ$6+1)/2)/AJ$6)*AJ28</f>
        <v>4.6000000000000005</v>
      </c>
      <c r="AK34" s="34">
        <f>(INDEX(Assumptions!$C$56:$G$56,1,AK$4)+(INDEX(Assumptions!$C$56:$G$56,1,AK$4)-IF(AK$4=1,Assumptions!$H$56,INDEX(Assumptions!$C$56:$G$56,1,MAX(1,AK$4-1))))*(AK$5-(AK$6+1)/2)/AK$6)*AK28</f>
        <v>4.733333333333333</v>
      </c>
      <c r="AL34" s="34">
        <f>(INDEX(Assumptions!$C$56:$G$56,1,AL$4)+(INDEX(Assumptions!$C$56:$G$56,1,AL$4)-IF(AL$4=1,Assumptions!$H$56,INDEX(Assumptions!$C$56:$G$56,1,MAX(1,AL$4-1))))*(AL$5-(AL$6+1)/2)/AL$6)*AL28</f>
        <v>4.866666666666667</v>
      </c>
      <c r="AM34" s="34">
        <f>(INDEX(Assumptions!$C$56:$G$56,1,AM$4)+(INDEX(Assumptions!$C$56:$G$56,1,AM$4)-IF(AM$4=1,Assumptions!$H$56,INDEX(Assumptions!$C$56:$G$56,1,MAX(1,AM$4-1))))*(AM$5-(AM$6+1)/2)/AM$6)*AM28</f>
        <v>5.0</v>
      </c>
      <c r="AN34" s="34">
        <f>(INDEX(Assumptions!$C$56:$G$56,1,AN$4)+(INDEX(Assumptions!$C$56:$G$56,1,AN$4)-IF(AN$4=1,Assumptions!$H$56,INDEX(Assumptions!$C$56:$G$56,1,MAX(1,AN$4-1))))*(AN$5-(AN$6+1)/2)/AN$6)*AN28</f>
        <v>5.133333333333334</v>
      </c>
      <c r="AO34" s="34">
        <f>(INDEX(Assumptions!$C$56:$G$56,1,AO$4)+(INDEX(Assumptions!$C$56:$G$56,1,AO$4)-IF(AO$4=1,Assumptions!$H$56,INDEX(Assumptions!$C$56:$G$56,1,MAX(1,AO$4-1))))*(AO$5-(AO$6+1)/2)/AO$6)*AO28</f>
        <v>5.266666666666667</v>
      </c>
      <c r="AP34" s="34">
        <f>(INDEX(Assumptions!$C$56:$G$56,1,AP$4)+(INDEX(Assumptions!$C$56:$G$56,1,AP$4)-IF(AP$4=1,Assumptions!$H$56,INDEX(Assumptions!$C$56:$G$56,1,MAX(1,AP$4-1))))*(AP$5-(AP$6+1)/2)/AP$6)*AP28</f>
        <v>5.4</v>
      </c>
      <c r="AQ34" s="34">
        <f>(INDEX(Assumptions!$C$56:$G$56,1,AQ$4)+(INDEX(Assumptions!$C$56:$G$56,1,AQ$4)-IF(AQ$4=1,Assumptions!$H$56,INDEX(Assumptions!$C$56:$G$56,1,MAX(1,AQ$4-1))))*(AQ$5-(AQ$6+1)/2)/AQ$6)*AQ28</f>
        <v>5.533333333333334</v>
      </c>
      <c r="AR34" s="34">
        <f>(INDEX(Assumptions!$C$56:$G$56,1,AR$4)+(INDEX(Assumptions!$C$56:$G$56,1,AR$4)-IF(AR$4=1,Assumptions!$H$56,INDEX(Assumptions!$C$56:$G$56,1,MAX(1,AR$4-1))))*(AR$5-(AR$6+1)/2)/AR$6)*AR28</f>
        <v>5.666666666666667</v>
      </c>
      <c r="AS34" s="34">
        <f>(INDEX(Assumptions!$C$56:$G$56,1,AS$4)+(INDEX(Assumptions!$C$56:$G$56,1,AS$4)-IF(AS$4=1,Assumptions!$H$56,INDEX(Assumptions!$C$56:$G$56,1,MAX(1,AS$4-1))))*(AS$5-(AS$6+1)/2)/AS$6)*AS28</f>
        <v>5.800000000000001</v>
      </c>
      <c r="AT34" s="34">
        <f>(INDEX(Assumptions!$C$56:$G$56,1,AT$4)+(INDEX(Assumptions!$C$56:$G$56,1,AT$4)-IF(AT$4=1,Assumptions!$H$56,INDEX(Assumptions!$C$56:$G$56,1,MAX(1,AT$4-1))))*(AT$5-(AT$6+1)/2)/AT$6)*AT28</f>
        <v>5.933333333333334</v>
      </c>
      <c r="AU34" s="34">
        <f>(INDEX(Assumptions!$C$56:$G$56,1,AU$4)+(INDEX(Assumptions!$C$56:$G$56,1,AU$4)-IF(AU$4=1,Assumptions!$H$56,INDEX(Assumptions!$C$56:$G$56,1,MAX(1,AU$4-1))))*(AU$5-(AU$6+1)/2)/AU$6)*AU28</f>
        <v>6.066666666666666</v>
      </c>
      <c r="AV34" s="34">
        <f>(INDEX(Assumptions!$C$56:$G$56,1,AV$4)+(INDEX(Assumptions!$C$56:$G$56,1,AV$4)-IF(AV$4=1,Assumptions!$H$56,INDEX(Assumptions!$C$56:$G$56,1,MAX(1,AV$4-1))))*(AV$5-(AV$6+1)/2)/AV$6)*AV28</f>
        <v>6.2</v>
      </c>
      <c r="AW34" s="34">
        <f>(INDEX(Assumptions!$C$56:$G$56,1,AW$4)+(INDEX(Assumptions!$C$56:$G$56,1,AW$4)-IF(AW$4=1,Assumptions!$H$56,INDEX(Assumptions!$C$56:$G$56,1,MAX(1,AW$4-1))))*(AW$5-(AW$6+1)/2)/AW$6)*AW28</f>
        <v>6.333333333333334</v>
      </c>
      <c r="AX34" s="34">
        <f>(INDEX(Assumptions!$C$56:$G$56,1,AX$4)+(INDEX(Assumptions!$C$56:$G$56,1,AX$4)-IF(AX$4=1,Assumptions!$H$56,INDEX(Assumptions!$C$56:$G$56,1,MAX(1,AX$4-1))))*(AX$5-(AX$6+1)/2)/AX$6)*AX28</f>
        <v>6.466666666666668</v>
      </c>
      <c r="AY34" s="34">
        <f>(INDEX(Assumptions!$C$56:$G$56,1,AY$4)+(INDEX(Assumptions!$C$56:$G$56,1,AY$4)-IF(AY$4=1,Assumptions!$H$56,INDEX(Assumptions!$C$56:$G$56,1,MAX(1,AY$4-1))))*(AY$5-(AY$6+1)/2)/AY$6)*AY28</f>
        <v>6.6000000000000005</v>
      </c>
      <c r="AZ34" s="34">
        <f>(INDEX(Assumptions!$C$56:$G$56,1,AZ$4)+(INDEX(Assumptions!$C$56:$G$56,1,AZ$4)-IF(AZ$4=1,Assumptions!$H$56,INDEX(Assumptions!$C$56:$G$56,1,MAX(1,AZ$4-1))))*(AZ$5-(AZ$6+1)/2)/AZ$6)*AZ28</f>
        <v>6.733333333333333</v>
      </c>
      <c r="BA34" s="34">
        <f>(INDEX(Assumptions!$C$56:$G$56,1,BA$4)+(INDEX(Assumptions!$C$56:$G$56,1,BA$4)-IF(BA$4=1,Assumptions!$H$56,INDEX(Assumptions!$C$56:$G$56,1,MAX(1,BA$4-1))))*(BA$5-(BA$6+1)/2)/BA$6)*BA28</f>
        <v>6.866666666666667</v>
      </c>
      <c r="BB34" s="34">
        <f>(INDEX(Assumptions!$C$56:$G$56,1,BB$4)+(INDEX(Assumptions!$C$56:$G$56,1,BB$4)-IF(BB$4=1,Assumptions!$H$56,INDEX(Assumptions!$C$56:$G$56,1,MAX(1,BB$4-1))))*(BB$5-(BB$6+1)/2)/BB$6)*BB28</f>
        <v>7.0</v>
      </c>
      <c r="BC34" s="34">
        <f>(INDEX(Assumptions!$C$56:$G$56,1,BC$4)+(INDEX(Assumptions!$C$56:$G$56,1,BC$4)-IF(BC$4=1,Assumptions!$H$56,INDEX(Assumptions!$C$56:$G$56,1,MAX(1,BC$4-1))))*(BC$5-(BC$6+1)/2)/BC$6)*BC28</f>
        <v>7.133333333333333</v>
      </c>
    </row>
    <row r="35">
      <c r="A35" s="4" t="inlineStr">
        <is>
          <t>Heads: lead-verification callers</t>
        </is>
      </c>
      <c r="B35" s="2" t="inlineStr">
        <is>
          <t>people</t>
        </is>
      </c>
      <c r="C35" s="34">
        <f>C11/Assumptions!$C$64</f>
        <v>0.26133333333333336</v>
      </c>
      <c r="D35" s="34">
        <f>D11/Assumptions!$C$64</f>
        <v>0.45733333333333337</v>
      </c>
      <c r="E35" s="34">
        <f>E11/Assumptions!$C$64</f>
        <v>0.6533333333333334</v>
      </c>
      <c r="F35" s="34">
        <f>F11/Assumptions!$C$64</f>
        <v>0.8493333333333334</v>
      </c>
      <c r="G35" s="34">
        <f>G11/Assumptions!$C$64</f>
        <v>1.0453333333333334</v>
      </c>
      <c r="H35" s="34">
        <f>H11/Assumptions!$C$64</f>
        <v>1.1924509839685615</v>
      </c>
      <c r="I35" s="34">
        <f>I11/Assumptions!$C$64</f>
        <v>1.3602736120863215</v>
      </c>
      <c r="J35" s="34">
        <f>J11/Assumptions!$C$64</f>
        <v>1.551715185458018</v>
      </c>
      <c r="K35" s="34">
        <f>K11/Assumptions!$C$64</f>
        <v>1.7700997765354167</v>
      </c>
      <c r="L35" s="34">
        <f>L11/Assumptions!$C$64</f>
        <v>2.019219279577953</v>
      </c>
      <c r="M35" s="34">
        <f>M11/Assumptions!$C$64</f>
        <v>2.3033992507471353</v>
      </c>
      <c r="N35" s="34">
        <f>N11/Assumptions!$C$64</f>
        <v>2.627574014374209</v>
      </c>
      <c r="O35" s="34">
        <f>O11/Assumptions!$C$64</f>
        <v>2.997372339500038</v>
      </c>
      <c r="P35" s="34">
        <f>P11/Assumptions!$C$64</f>
        <v>3.419215174321044</v>
      </c>
      <c r="Q35" s="34">
        <f>Q11/Assumptions!$C$64</f>
        <v>3.9004271355414404</v>
      </c>
      <c r="R35" s="34">
        <f>R11/Assumptions!$C$64</f>
        <v>4.449363688463675</v>
      </c>
      <c r="S35" s="34">
        <f>S11/Assumptions!$C$64</f>
        <v>5.075556226092889</v>
      </c>
      <c r="T35" s="34">
        <f>T11/Assumptions!$C$64</f>
        <v>5.437330469432792</v>
      </c>
      <c r="U35" s="34">
        <f>U11/Assumptions!$C$64</f>
        <v>5.824891167953957</v>
      </c>
      <c r="V35" s="34">
        <f>V11/Assumptions!$C$64</f>
        <v>6.24007632224123</v>
      </c>
      <c r="W35" s="34">
        <f>W11/Assumptions!$C$64</f>
        <v>6.684854941431087</v>
      </c>
      <c r="X35" s="34">
        <f>X11/Assumptions!$C$64</f>
        <v>7.161336381207149</v>
      </c>
      <c r="Y35" s="34">
        <f>Y11/Assumptions!$C$64</f>
        <v>7.671780347386569</v>
      </c>
      <c r="Z35" s="34">
        <f>Z11/Assumptions!$C$64</f>
        <v>8.2186076125398</v>
      </c>
      <c r="AA35" s="34">
        <f>AA11/Assumptions!$C$64</f>
        <v>8.80441149646667</v>
      </c>
      <c r="AB35" s="34">
        <f>AB11/Assumptions!$C$64</f>
        <v>9.43197016497519</v>
      </c>
      <c r="AC35" s="34">
        <f>AC11/Assumptions!$C$64</f>
        <v>10.104259805290168</v>
      </c>
      <c r="AD35" s="34">
        <f>AD11/Assumptions!$C$64</f>
        <v>10.82446874057426</v>
      </c>
      <c r="AE35" s="34">
        <f>AE11/Assumptions!$C$64</f>
        <v>11.596012550501134</v>
      </c>
      <c r="AF35" s="34">
        <f>AF11/Assumptions!$C$64</f>
        <v>12.26520648103281</v>
      </c>
      <c r="AG35" s="34">
        <f>AG11/Assumptions!$C$64</f>
        <v>12.973018903456648</v>
      </c>
      <c r="AH35" s="34">
        <f>AH11/Assumptions!$C$64</f>
        <v>13.721678451129483</v>
      </c>
      <c r="AI35" s="34">
        <f>AI11/Assumptions!$C$64</f>
        <v>14.513542369542362</v>
      </c>
      <c r="AJ35" s="34">
        <f>AJ11/Assumptions!$C$64</f>
        <v>15.351103938393416</v>
      </c>
      <c r="AK35" s="34">
        <f>AK11/Assumptions!$C$64</f>
        <v>16.237000321981835</v>
      </c>
      <c r="AL35" s="34">
        <f>AL11/Assumptions!$C$64</f>
        <v>17.174020872640423</v>
      </c>
      <c r="AM35" s="34">
        <f>AM11/Assumptions!$C$64</f>
        <v>18.16511591334904</v>
      </c>
      <c r="AN35" s="34">
        <f>AN11/Assumptions!$C$64</f>
        <v>19.213406027185826</v>
      </c>
      <c r="AO35" s="34">
        <f>AO11/Assumptions!$C$64</f>
        <v>20.322191882861723</v>
      </c>
      <c r="AP35" s="34">
        <f>AP11/Assumptions!$C$64</f>
        <v>21.49496462727603</v>
      </c>
      <c r="AQ35" s="34">
        <f>AQ11/Assumptions!$C$64</f>
        <v>22.73541687781689</v>
      </c>
      <c r="AR35" s="34">
        <f>AR11/Assumptions!$C$64</f>
        <v>23.358559497474182</v>
      </c>
      <c r="AS35" s="34">
        <f>AS11/Assumptions!$C$64</f>
        <v>23.998781492738456</v>
      </c>
      <c r="AT35" s="34">
        <f>AT11/Assumptions!$C$64</f>
        <v>24.656550982884287</v>
      </c>
      <c r="AU35" s="34">
        <f>AU11/Assumptions!$C$64</f>
        <v>25.332348917611355</v>
      </c>
      <c r="AV35" s="34">
        <f>AV11/Assumptions!$C$64</f>
        <v>26.02666942870778</v>
      </c>
      <c r="AW35" s="34">
        <f>AW11/Assumptions!$C$64</f>
        <v>26.740020191349362</v>
      </c>
      <c r="AX35" s="34">
        <f>AX11/Assumptions!$C$64</f>
        <v>27.472922795303305</v>
      </c>
      <c r="AY35" s="34">
        <f>AY11/Assumptions!$C$64</f>
        <v>28.225913126306004</v>
      </c>
      <c r="AZ35" s="34">
        <f>AZ11/Assumptions!$C$64</f>
        <v>28.999541757893184</v>
      </c>
      <c r="BA35" s="34">
        <f>BA11/Assumptions!$C$64</f>
        <v>29.79437435396954</v>
      </c>
      <c r="BB35" s="34">
        <f>BB11/Assumptions!$C$64</f>
        <v>30.61099208241345</v>
      </c>
      <c r="BC35" s="34">
        <f>BC11/Assumptions!$C$64</f>
        <v>31.44999204001546</v>
      </c>
    </row>
    <row r="36">
      <c r="A36" s="3" t="inlineStr">
        <is>
          <t>Total heads</t>
        </is>
      </c>
      <c r="B36" s="2" t="inlineStr">
        <is>
          <t>people</t>
        </is>
      </c>
      <c r="C36" s="35">
        <f>SUM(C29:C35)</f>
        <v>8.061333333333334</v>
      </c>
      <c r="D36" s="35">
        <f>SUM(D29:D35)</f>
        <v>9.857333333333333</v>
      </c>
      <c r="E36" s="35">
        <f>SUM(E29:E35)</f>
        <v>11.653333333333334</v>
      </c>
      <c r="F36" s="35">
        <f>SUM(F29:F35)</f>
        <v>13.449333333333334</v>
      </c>
      <c r="G36" s="35">
        <f>SUM(G29:G35)</f>
        <v>15.245333333333335</v>
      </c>
      <c r="H36" s="35">
        <f>SUM(H29:H35)</f>
        <v>16.925784317301897</v>
      </c>
      <c r="I36" s="35">
        <f>SUM(I29:I35)</f>
        <v>18.16027361208632</v>
      </c>
      <c r="J36" s="35">
        <f>SUM(J29:J35)</f>
        <v>19.41838185212469</v>
      </c>
      <c r="K36" s="35">
        <f>SUM(K29:K35)</f>
        <v>20.70343310986875</v>
      </c>
      <c r="L36" s="35">
        <f>SUM(L29:L35)</f>
        <v>22.019219279577953</v>
      </c>
      <c r="M36" s="35">
        <f>SUM(M29:M35)</f>
        <v>23.370065917413797</v>
      </c>
      <c r="N36" s="35">
        <f>SUM(N29:N35)</f>
        <v>24.760907347707544</v>
      </c>
      <c r="O36" s="35">
        <f>SUM(O29:O35)</f>
        <v>26.19737233950004</v>
      </c>
      <c r="P36" s="35">
        <f>SUM(P29:P35)</f>
        <v>27.68588184098771</v>
      </c>
      <c r="Q36" s="35">
        <f>SUM(Q29:Q35)</f>
        <v>29.233760468874777</v>
      </c>
      <c r="R36" s="35">
        <f>SUM(R29:R35)</f>
        <v>30.849363688463676</v>
      </c>
      <c r="S36" s="35">
        <f>SUM(S29:S35)</f>
        <v>32.542222892759554</v>
      </c>
      <c r="T36" s="35">
        <f>SUM(T29:T35)</f>
        <v>35.27066380276613</v>
      </c>
      <c r="U36" s="35">
        <f>SUM(U29:U35)</f>
        <v>36.92489116795396</v>
      </c>
      <c r="V36" s="35">
        <f>SUM(V29:V35)</f>
        <v>38.6067429889079</v>
      </c>
      <c r="W36" s="35">
        <f>SUM(W29:W35)</f>
        <v>40.318188274764424</v>
      </c>
      <c r="X36" s="35">
        <f>SUM(X29:X35)</f>
        <v>42.061336381207155</v>
      </c>
      <c r="Y36" s="35">
        <f>SUM(Y29:Y35)</f>
        <v>43.838447014053244</v>
      </c>
      <c r="Z36" s="35">
        <f>SUM(Z29:Z35)</f>
        <v>45.65194094587313</v>
      </c>
      <c r="AA36" s="35">
        <f>SUM(AA29:AA35)</f>
        <v>47.50441149646667</v>
      </c>
      <c r="AB36" s="35">
        <f>SUM(AB29:AB35)</f>
        <v>49.39863683164186</v>
      </c>
      <c r="AC36" s="35">
        <f>SUM(AC29:AC35)</f>
        <v>51.337593138623504</v>
      </c>
      <c r="AD36" s="35">
        <f>SUM(AD29:AD35)</f>
        <v>53.32446874057426</v>
      </c>
      <c r="AE36" s="35">
        <f>SUM(AE29:AE35)</f>
        <v>55.3626792171678</v>
      </c>
      <c r="AF36" s="35">
        <f>SUM(AF29:AF35)</f>
        <v>56.43187314769948</v>
      </c>
      <c r="AG36" s="35">
        <f>SUM(AG29:AG35)</f>
        <v>58.27301890345665</v>
      </c>
      <c r="AH36" s="35">
        <f>SUM(AH29:AH35)</f>
        <v>60.15501178446282</v>
      </c>
      <c r="AI36" s="35">
        <f>SUM(AI29:AI35)</f>
        <v>62.080209036209034</v>
      </c>
      <c r="AJ36" s="35">
        <f>SUM(AJ29:AJ35)</f>
        <v>64.05110393839342</v>
      </c>
      <c r="AK36" s="35">
        <f>SUM(AK29:AK35)</f>
        <v>66.07033365531517</v>
      </c>
      <c r="AL36" s="35">
        <f>SUM(AL29:AL35)</f>
        <v>68.1406875393071</v>
      </c>
      <c r="AM36" s="35">
        <f>SUM(AM29:AM35)</f>
        <v>70.26511591334904</v>
      </c>
      <c r="AN36" s="35">
        <f>SUM(AN29:AN35)</f>
        <v>72.44673936051916</v>
      </c>
      <c r="AO36" s="35">
        <f>SUM(AO29:AO35)</f>
        <v>74.68885854952839</v>
      </c>
      <c r="AP36" s="35">
        <f>SUM(AP29:AP35)</f>
        <v>76.99496462727603</v>
      </c>
      <c r="AQ36" s="35">
        <f>SUM(AQ29:AQ35)</f>
        <v>79.36875021115023</v>
      </c>
      <c r="AR36" s="35">
        <f>SUM(AR29:AR35)</f>
        <v>81.12522616414086</v>
      </c>
      <c r="AS36" s="35">
        <f>SUM(AS29:AS35)</f>
        <v>82.89878149273846</v>
      </c>
      <c r="AT36" s="35">
        <f>SUM(AT29:AT35)</f>
        <v>84.68988431621761</v>
      </c>
      <c r="AU36" s="35">
        <f>SUM(AU29:AU35)</f>
        <v>86.49901558427803</v>
      </c>
      <c r="AV36" s="35">
        <f>SUM(AV29:AV35)</f>
        <v>88.32666942870779</v>
      </c>
      <c r="AW36" s="35">
        <f>SUM(AW29:AW35)</f>
        <v>90.1733535246827</v>
      </c>
      <c r="AX36" s="35">
        <f>SUM(AX29:AX35)</f>
        <v>92.03958946196998</v>
      </c>
      <c r="AY36" s="35">
        <f>SUM(AY29:AY35)</f>
        <v>93.925913126306</v>
      </c>
      <c r="AZ36" s="35">
        <f>SUM(AZ29:AZ35)</f>
        <v>95.83287509122651</v>
      </c>
      <c r="BA36" s="35">
        <f>SUM(BA29:BA35)</f>
        <v>97.76104102063621</v>
      </c>
      <c r="BB36" s="35">
        <f>SUM(BB29:BB35)</f>
        <v>99.71099208241344</v>
      </c>
      <c r="BC36" s="35">
        <f>SUM(BC29:BC35)</f>
        <v>101.68332537334881</v>
      </c>
    </row>
    <row r="37">
      <c r="A37" s="4" t="inlineStr">
        <is>
          <t>Pay index (April rises)</t>
        </is>
      </c>
      <c r="B37" s="2" t="inlineStr">
        <is>
          <t>x FY27</t>
        </is>
      </c>
      <c r="C37" s="37">
        <f>(1+Assumptions!$C$66)^(C$4-1)</f>
        <v>1.0</v>
      </c>
      <c r="D37" s="37">
        <f>(1+Assumptions!$C$66)^(D$4-1)</f>
        <v>1.0</v>
      </c>
      <c r="E37" s="37">
        <f>(1+Assumptions!$C$66)^(E$4-1)</f>
        <v>1.0</v>
      </c>
      <c r="F37" s="37">
        <f>(1+Assumptions!$C$66)^(F$4-1)</f>
        <v>1.0</v>
      </c>
      <c r="G37" s="37">
        <f>(1+Assumptions!$C$66)^(G$4-1)</f>
        <v>1.0</v>
      </c>
      <c r="H37" s="37">
        <f>(1+Assumptions!$C$66)^(H$4-1)</f>
        <v>1.09</v>
      </c>
      <c r="I37" s="37">
        <f>(1+Assumptions!$C$66)^(I$4-1)</f>
        <v>1.09</v>
      </c>
      <c r="J37" s="37">
        <f>(1+Assumptions!$C$66)^(J$4-1)</f>
        <v>1.09</v>
      </c>
      <c r="K37" s="37">
        <f>(1+Assumptions!$C$66)^(K$4-1)</f>
        <v>1.09</v>
      </c>
      <c r="L37" s="37">
        <f>(1+Assumptions!$C$66)^(L$4-1)</f>
        <v>1.09</v>
      </c>
      <c r="M37" s="37">
        <f>(1+Assumptions!$C$66)^(M$4-1)</f>
        <v>1.09</v>
      </c>
      <c r="N37" s="37">
        <f>(1+Assumptions!$C$66)^(N$4-1)</f>
        <v>1.09</v>
      </c>
      <c r="O37" s="37">
        <f>(1+Assumptions!$C$66)^(O$4-1)</f>
        <v>1.09</v>
      </c>
      <c r="P37" s="37">
        <f>(1+Assumptions!$C$66)^(P$4-1)</f>
        <v>1.09</v>
      </c>
      <c r="Q37" s="37">
        <f>(1+Assumptions!$C$66)^(Q$4-1)</f>
        <v>1.09</v>
      </c>
      <c r="R37" s="37">
        <f>(1+Assumptions!$C$66)^(R$4-1)</f>
        <v>1.09</v>
      </c>
      <c r="S37" s="37">
        <f>(1+Assumptions!$C$66)^(S$4-1)</f>
        <v>1.09</v>
      </c>
      <c r="T37" s="37">
        <f>(1+Assumptions!$C$66)^(T$4-1)</f>
        <v>1.1881000000000002</v>
      </c>
      <c r="U37" s="37">
        <f>(1+Assumptions!$C$66)^(U$4-1)</f>
        <v>1.1881000000000002</v>
      </c>
      <c r="V37" s="37">
        <f>(1+Assumptions!$C$66)^(V$4-1)</f>
        <v>1.1881000000000002</v>
      </c>
      <c r="W37" s="37">
        <f>(1+Assumptions!$C$66)^(W$4-1)</f>
        <v>1.1881000000000002</v>
      </c>
      <c r="X37" s="37">
        <f>(1+Assumptions!$C$66)^(X$4-1)</f>
        <v>1.1881000000000002</v>
      </c>
      <c r="Y37" s="37">
        <f>(1+Assumptions!$C$66)^(Y$4-1)</f>
        <v>1.1881000000000002</v>
      </c>
      <c r="Z37" s="37">
        <f>(1+Assumptions!$C$66)^(Z$4-1)</f>
        <v>1.1881000000000002</v>
      </c>
      <c r="AA37" s="37">
        <f>(1+Assumptions!$C$66)^(AA$4-1)</f>
        <v>1.1881000000000002</v>
      </c>
      <c r="AB37" s="37">
        <f>(1+Assumptions!$C$66)^(AB$4-1)</f>
        <v>1.1881000000000002</v>
      </c>
      <c r="AC37" s="37">
        <f>(1+Assumptions!$C$66)^(AC$4-1)</f>
        <v>1.1881000000000002</v>
      </c>
      <c r="AD37" s="37">
        <f>(1+Assumptions!$C$66)^(AD$4-1)</f>
        <v>1.1881000000000002</v>
      </c>
      <c r="AE37" s="37">
        <f>(1+Assumptions!$C$66)^(AE$4-1)</f>
        <v>1.1881000000000002</v>
      </c>
      <c r="AF37" s="37">
        <f>(1+Assumptions!$C$66)^(AF$4-1)</f>
        <v>1.2950290000000002</v>
      </c>
      <c r="AG37" s="37">
        <f>(1+Assumptions!$C$66)^(AG$4-1)</f>
        <v>1.2950290000000002</v>
      </c>
      <c r="AH37" s="37">
        <f>(1+Assumptions!$C$66)^(AH$4-1)</f>
        <v>1.2950290000000002</v>
      </c>
      <c r="AI37" s="37">
        <f>(1+Assumptions!$C$66)^(AI$4-1)</f>
        <v>1.2950290000000002</v>
      </c>
      <c r="AJ37" s="37">
        <f>(1+Assumptions!$C$66)^(AJ$4-1)</f>
        <v>1.2950290000000002</v>
      </c>
      <c r="AK37" s="37">
        <f>(1+Assumptions!$C$66)^(AK$4-1)</f>
        <v>1.2950290000000002</v>
      </c>
      <c r="AL37" s="37">
        <f>(1+Assumptions!$C$66)^(AL$4-1)</f>
        <v>1.2950290000000002</v>
      </c>
      <c r="AM37" s="37">
        <f>(1+Assumptions!$C$66)^(AM$4-1)</f>
        <v>1.2950290000000002</v>
      </c>
      <c r="AN37" s="37">
        <f>(1+Assumptions!$C$66)^(AN$4-1)</f>
        <v>1.2950290000000002</v>
      </c>
      <c r="AO37" s="37">
        <f>(1+Assumptions!$C$66)^(AO$4-1)</f>
        <v>1.2950290000000002</v>
      </c>
      <c r="AP37" s="37">
        <f>(1+Assumptions!$C$66)^(AP$4-1)</f>
        <v>1.2950290000000002</v>
      </c>
      <c r="AQ37" s="37">
        <f>(1+Assumptions!$C$66)^(AQ$4-1)</f>
        <v>1.2950290000000002</v>
      </c>
      <c r="AR37" s="37">
        <f>(1+Assumptions!$C$66)^(AR$4-1)</f>
        <v>1.4115816100000005</v>
      </c>
      <c r="AS37" s="37">
        <f>(1+Assumptions!$C$66)^(AS$4-1)</f>
        <v>1.4115816100000005</v>
      </c>
      <c r="AT37" s="37">
        <f>(1+Assumptions!$C$66)^(AT$4-1)</f>
        <v>1.4115816100000005</v>
      </c>
      <c r="AU37" s="37">
        <f>(1+Assumptions!$C$66)^(AU$4-1)</f>
        <v>1.4115816100000005</v>
      </c>
      <c r="AV37" s="37">
        <f>(1+Assumptions!$C$66)^(AV$4-1)</f>
        <v>1.4115816100000005</v>
      </c>
      <c r="AW37" s="37">
        <f>(1+Assumptions!$C$66)^(AW$4-1)</f>
        <v>1.4115816100000005</v>
      </c>
      <c r="AX37" s="37">
        <f>(1+Assumptions!$C$66)^(AX$4-1)</f>
        <v>1.4115816100000005</v>
      </c>
      <c r="AY37" s="37">
        <f>(1+Assumptions!$C$66)^(AY$4-1)</f>
        <v>1.4115816100000005</v>
      </c>
      <c r="AZ37" s="37">
        <f>(1+Assumptions!$C$66)^(AZ$4-1)</f>
        <v>1.4115816100000005</v>
      </c>
      <c r="BA37" s="37">
        <f>(1+Assumptions!$C$66)^(BA$4-1)</f>
        <v>1.4115816100000005</v>
      </c>
      <c r="BB37" s="37">
        <f>(1+Assumptions!$C$66)^(BB$4-1)</f>
        <v>1.4115816100000005</v>
      </c>
      <c r="BC37" s="37">
        <f>(1+Assumptions!$C$66)^(BC$4-1)</f>
        <v>1.4115816100000005</v>
      </c>
    </row>
    <row r="38">
      <c r="A38" s="4" t="inlineStr">
        <is>
          <t>Payroll: Product &amp; engineering (incl. design, ML/PV)</t>
        </is>
      </c>
      <c r="B38" s="2" t="inlineStr">
        <is>
          <t>₹ lakh</t>
        </is>
      </c>
      <c r="C38" s="34">
        <f>C29*Assumptions!$C$57*C37/12*(1+Assumptions!$C$67)</f>
        <v>6.545</v>
      </c>
      <c r="D38" s="34">
        <f>D29*Assumptions!$C$57*D37/12*(1+Assumptions!$C$67)</f>
        <v>8.085</v>
      </c>
      <c r="E38" s="34">
        <f>E29*Assumptions!$C$57*E37/12*(1+Assumptions!$C$67)</f>
        <v>9.625</v>
      </c>
      <c r="F38" s="34">
        <f>F29*Assumptions!$C$57*F37/12*(1+Assumptions!$C$67)</f>
        <v>11.165</v>
      </c>
      <c r="G38" s="34">
        <f>G29*Assumptions!$C$57*G37/12*(1+Assumptions!$C$67)</f>
        <v>12.705</v>
      </c>
      <c r="H38" s="34">
        <f>H29*Assumptions!$C$57*H37/12*(1+Assumptions!$C$67)</f>
        <v>14.757691666666668</v>
      </c>
      <c r="I38" s="34">
        <f>I29*Assumptions!$C$57*I37/12*(1+Assumptions!$C$67)</f>
        <v>15.736875000000003</v>
      </c>
      <c r="J38" s="34">
        <f>J29*Assumptions!$C$57*J37/12*(1+Assumptions!$C$67)</f>
        <v>16.716058333333336</v>
      </c>
      <c r="K38" s="34">
        <f>K29*Assumptions!$C$57*K37/12*(1+Assumptions!$C$67)</f>
        <v>17.695241666666668</v>
      </c>
      <c r="L38" s="34">
        <f>L29*Assumptions!$C$57*L37/12*(1+Assumptions!$C$67)</f>
        <v>18.674425000000003</v>
      </c>
      <c r="M38" s="34">
        <f>M29*Assumptions!$C$57*M37/12*(1+Assumptions!$C$67)</f>
        <v>19.653608333333338</v>
      </c>
      <c r="N38" s="34">
        <f>N29*Assumptions!$C$57*N37/12*(1+Assumptions!$C$67)</f>
        <v>20.63279166666667</v>
      </c>
      <c r="O38" s="34">
        <f>O29*Assumptions!$C$57*O37/12*(1+Assumptions!$C$67)</f>
        <v>21.611975000000005</v>
      </c>
      <c r="P38" s="34">
        <f>P29*Assumptions!$C$57*P37/12*(1+Assumptions!$C$67)</f>
        <v>22.59115833333334</v>
      </c>
      <c r="Q38" s="34">
        <f>Q29*Assumptions!$C$57*Q37/12*(1+Assumptions!$C$67)</f>
        <v>23.57034166666667</v>
      </c>
      <c r="R38" s="34">
        <f>R29*Assumptions!$C$57*R37/12*(1+Assumptions!$C$67)</f>
        <v>24.549525000000003</v>
      </c>
      <c r="S38" s="34">
        <f>S29*Assumptions!$C$57*S37/12*(1+Assumptions!$C$67)</f>
        <v>25.52870833333334</v>
      </c>
      <c r="T38" s="34">
        <f>T29*Assumptions!$C$57*T37/12*(1+Assumptions!$C$67)</f>
        <v>27.90252850000001</v>
      </c>
      <c r="U38" s="34">
        <f>U29*Assumptions!$C$57*U37/12*(1+Assumptions!$C$67)</f>
        <v>28.81736550000001</v>
      </c>
      <c r="V38" s="34">
        <f>V29*Assumptions!$C$57*V37/12*(1+Assumptions!$C$67)</f>
        <v>29.732202500000007</v>
      </c>
      <c r="W38" s="34">
        <f>W29*Assumptions!$C$57*W37/12*(1+Assumptions!$C$67)</f>
        <v>30.64703950000001</v>
      </c>
      <c r="X38" s="34">
        <f>X29*Assumptions!$C$57*X37/12*(1+Assumptions!$C$67)</f>
        <v>31.561876500000007</v>
      </c>
      <c r="Y38" s="34">
        <f>Y29*Assumptions!$C$57*Y37/12*(1+Assumptions!$C$67)</f>
        <v>32.47671350000001</v>
      </c>
      <c r="Z38" s="34">
        <f>Z29*Assumptions!$C$57*Z37/12*(1+Assumptions!$C$67)</f>
        <v>33.39155050000001</v>
      </c>
      <c r="AA38" s="34">
        <f>AA29*Assumptions!$C$57*AA37/12*(1+Assumptions!$C$67)</f>
        <v>34.3063875</v>
      </c>
      <c r="AB38" s="34">
        <f>AB29*Assumptions!$C$57*AB37/12*(1+Assumptions!$C$67)</f>
        <v>35.221224500000005</v>
      </c>
      <c r="AC38" s="34">
        <f>AC29*Assumptions!$C$57*AC37/12*(1+Assumptions!$C$67)</f>
        <v>36.136061500000004</v>
      </c>
      <c r="AD38" s="34">
        <f>AD29*Assumptions!$C$57*AD37/12*(1+Assumptions!$C$67)</f>
        <v>37.05089850000001</v>
      </c>
      <c r="AE38" s="34">
        <f>AE29*Assumptions!$C$57*AE37/12*(1+Assumptions!$C$67)</f>
        <v>37.96573550000001</v>
      </c>
      <c r="AF38" s="34">
        <f>AF29*Assumptions!$C$57*AF37/12*(1+Assumptions!$C$67)</f>
        <v>42.379824025000005</v>
      </c>
      <c r="AG38" s="34">
        <f>AG29*Assumptions!$C$57*AG37/12*(1+Assumptions!$C$67)</f>
        <v>43.37699635500002</v>
      </c>
      <c r="AH38" s="34">
        <f>AH29*Assumptions!$C$57*AH37/12*(1+Assumptions!$C$67)</f>
        <v>44.374168685000015</v>
      </c>
      <c r="AI38" s="34">
        <f>AI29*Assumptions!$C$57*AI37/12*(1+Assumptions!$C$67)</f>
        <v>45.37134101500001</v>
      </c>
      <c r="AJ38" s="34">
        <f>AJ29*Assumptions!$C$57*AJ37/12*(1+Assumptions!$C$67)</f>
        <v>46.36851334500001</v>
      </c>
      <c r="AK38" s="34">
        <f>AK29*Assumptions!$C$57*AK37/12*(1+Assumptions!$C$67)</f>
        <v>47.365685675</v>
      </c>
      <c r="AL38" s="34">
        <f>AL29*Assumptions!$C$57*AL37/12*(1+Assumptions!$C$67)</f>
        <v>48.36285800500002</v>
      </c>
      <c r="AM38" s="34">
        <f>AM29*Assumptions!$C$57*AM37/12*(1+Assumptions!$C$67)</f>
        <v>49.36003033500001</v>
      </c>
      <c r="AN38" s="34">
        <f>AN29*Assumptions!$C$57*AN37/12*(1+Assumptions!$C$67)</f>
        <v>50.35720266500002</v>
      </c>
      <c r="AO38" s="34">
        <f>AO29*Assumptions!$C$57*AO37/12*(1+Assumptions!$C$67)</f>
        <v>51.354374995000015</v>
      </c>
      <c r="AP38" s="34">
        <f>AP29*Assumptions!$C$57*AP37/12*(1+Assumptions!$C$67)</f>
        <v>52.35154732500001</v>
      </c>
      <c r="AQ38" s="34">
        <f>AQ29*Assumptions!$C$57*AQ37/12*(1+Assumptions!$C$67)</f>
        <v>53.34871965500002</v>
      </c>
      <c r="AR38" s="34">
        <f>AR29*Assumptions!$C$57*AR37/12*(1+Assumptions!$C$67)</f>
        <v>59.23702226365003</v>
      </c>
      <c r="AS38" s="34">
        <f>AS29*Assumptions!$C$57*AS37/12*(1+Assumptions!$C$67)</f>
        <v>60.32394010335003</v>
      </c>
      <c r="AT38" s="34">
        <f>AT29*Assumptions!$C$57*AT37/12*(1+Assumptions!$C$67)</f>
        <v>61.41085794305003</v>
      </c>
      <c r="AU38" s="34">
        <f>AU29*Assumptions!$C$57*AU37/12*(1+Assumptions!$C$67)</f>
        <v>62.497775782750026</v>
      </c>
      <c r="AV38" s="34">
        <f>AV29*Assumptions!$C$57*AV37/12*(1+Assumptions!$C$67)</f>
        <v>63.58469362245004</v>
      </c>
      <c r="AW38" s="34">
        <f>AW29*Assumptions!$C$57*AW37/12*(1+Assumptions!$C$67)</f>
        <v>64.67161146215003</v>
      </c>
      <c r="AX38" s="34">
        <f>AX29*Assumptions!$C$57*AX37/12*(1+Assumptions!$C$67)</f>
        <v>65.75852930185003</v>
      </c>
      <c r="AY38" s="34">
        <f>AY29*Assumptions!$C$57*AY37/12*(1+Assumptions!$C$67)</f>
        <v>66.84544714155003</v>
      </c>
      <c r="AZ38" s="34">
        <f>AZ29*Assumptions!$C$57*AZ37/12*(1+Assumptions!$C$67)</f>
        <v>67.93236498125002</v>
      </c>
      <c r="BA38" s="34">
        <f>BA29*Assumptions!$C$57*BA37/12*(1+Assumptions!$C$67)</f>
        <v>69.01928282095004</v>
      </c>
      <c r="BB38" s="34">
        <f>BB29*Assumptions!$C$57*BB37/12*(1+Assumptions!$C$67)</f>
        <v>70.10620066065003</v>
      </c>
      <c r="BC38" s="34">
        <f>BC29*Assumptions!$C$57*BC37/12*(1+Assumptions!$C$67)</f>
        <v>71.19311850035002</v>
      </c>
    </row>
    <row r="39">
      <c r="A39" s="4" t="inlineStr">
        <is>
          <t>Payroll: Growth &amp; content</t>
        </is>
      </c>
      <c r="B39" s="2" t="inlineStr">
        <is>
          <t>₹ lakh</t>
        </is>
      </c>
      <c r="C39" s="34">
        <f>C30*Assumptions!$C$58*C37/12*(1+Assumptions!$C$67)</f>
        <v>1.6800000000000004</v>
      </c>
      <c r="D39" s="34">
        <f>D30*Assumptions!$C$58*D37/12*(1+Assumptions!$C$67)</f>
        <v>1.8900000000000001</v>
      </c>
      <c r="E39" s="34">
        <f>E30*Assumptions!$C$58*E37/12*(1+Assumptions!$C$67)</f>
        <v>2.1</v>
      </c>
      <c r="F39" s="34">
        <f>F30*Assumptions!$C$58*F37/12*(1+Assumptions!$C$67)</f>
        <v>2.3100000000000005</v>
      </c>
      <c r="G39" s="34">
        <f>G30*Assumptions!$C$58*G37/12*(1+Assumptions!$C$67)</f>
        <v>2.52</v>
      </c>
      <c r="H39" s="34">
        <f>H30*Assumptions!$C$58*H37/12*(1+Assumptions!$C$67)</f>
        <v>2.8231</v>
      </c>
      <c r="I39" s="34">
        <f>I30*Assumptions!$C$58*I37/12*(1+Assumptions!$C$67)</f>
        <v>2.9757000000000002</v>
      </c>
      <c r="J39" s="34">
        <f>J30*Assumptions!$C$58*J37/12*(1+Assumptions!$C$67)</f>
        <v>3.1283000000000003</v>
      </c>
      <c r="K39" s="34">
        <f>K30*Assumptions!$C$58*K37/12*(1+Assumptions!$C$67)</f>
        <v>3.2809000000000013</v>
      </c>
      <c r="L39" s="34">
        <f>L30*Assumptions!$C$58*L37/12*(1+Assumptions!$C$67)</f>
        <v>3.4335</v>
      </c>
      <c r="M39" s="34">
        <f>M30*Assumptions!$C$58*M37/12*(1+Assumptions!$C$67)</f>
        <v>3.5861</v>
      </c>
      <c r="N39" s="34">
        <f>N30*Assumptions!$C$58*N37/12*(1+Assumptions!$C$67)</f>
        <v>3.738700000000001</v>
      </c>
      <c r="O39" s="34">
        <f>O30*Assumptions!$C$58*O37/12*(1+Assumptions!$C$67)</f>
        <v>3.891300000000001</v>
      </c>
      <c r="P39" s="34">
        <f>P30*Assumptions!$C$58*P37/12*(1+Assumptions!$C$67)</f>
        <v>4.043900000000001</v>
      </c>
      <c r="Q39" s="34">
        <f>Q30*Assumptions!$C$58*Q37/12*(1+Assumptions!$C$67)</f>
        <v>4.1965</v>
      </c>
      <c r="R39" s="34">
        <f>R30*Assumptions!$C$58*R37/12*(1+Assumptions!$C$67)</f>
        <v>4.349100000000001</v>
      </c>
      <c r="S39" s="34">
        <f>S30*Assumptions!$C$58*S37/12*(1+Assumptions!$C$67)</f>
        <v>4.5017000000000005</v>
      </c>
      <c r="T39" s="34">
        <f>T30*Assumptions!$C$58*T37/12*(1+Assumptions!$C$67)</f>
        <v>5.613772500000001</v>
      </c>
      <c r="U39" s="34">
        <f>U30*Assumptions!$C$58*U37/12*(1+Assumptions!$C$67)</f>
        <v>5.863273500000002</v>
      </c>
      <c r="V39" s="34">
        <f>V30*Assumptions!$C$58*V37/12*(1+Assumptions!$C$67)</f>
        <v>6.112774500000001</v>
      </c>
      <c r="W39" s="34">
        <f>W30*Assumptions!$C$58*W37/12*(1+Assumptions!$C$67)</f>
        <v>6.362275500000001</v>
      </c>
      <c r="X39" s="34">
        <f>X30*Assumptions!$C$58*X37/12*(1+Assumptions!$C$67)</f>
        <v>6.611776500000003</v>
      </c>
      <c r="Y39" s="34">
        <f>Y30*Assumptions!$C$58*Y37/12*(1+Assumptions!$C$67)</f>
        <v>6.861277500000001</v>
      </c>
      <c r="Z39" s="34">
        <f>Z30*Assumptions!$C$58*Z37/12*(1+Assumptions!$C$67)</f>
        <v>7.110778500000002</v>
      </c>
      <c r="AA39" s="34">
        <f>AA30*Assumptions!$C$58*AA37/12*(1+Assumptions!$C$67)</f>
        <v>7.3602795000000025</v>
      </c>
      <c r="AB39" s="34">
        <f>AB30*Assumptions!$C$58*AB37/12*(1+Assumptions!$C$67)</f>
        <v>7.609780500000002</v>
      </c>
      <c r="AC39" s="34">
        <f>AC30*Assumptions!$C$58*AC37/12*(1+Assumptions!$C$67)</f>
        <v>7.8592815000000025</v>
      </c>
      <c r="AD39" s="34">
        <f>AD30*Assumptions!$C$58*AD37/12*(1+Assumptions!$C$67)</f>
        <v>8.108782500000002</v>
      </c>
      <c r="AE39" s="34">
        <f>AE30*Assumptions!$C$58*AE37/12*(1+Assumptions!$C$67)</f>
        <v>8.358283500000002</v>
      </c>
      <c r="AF39" s="34">
        <f>AF30*Assumptions!$C$58*AF37/12*(1+Assumptions!$C$67)</f>
        <v>8.793246910000004</v>
      </c>
      <c r="AG39" s="34">
        <f>AG30*Assumptions!$C$58*AG37/12*(1+Assumptions!$C$67)</f>
        <v>8.974550970000001</v>
      </c>
      <c r="AH39" s="34">
        <f>AH30*Assumptions!$C$58*AH37/12*(1+Assumptions!$C$67)</f>
        <v>9.155855030000001</v>
      </c>
      <c r="AI39" s="34">
        <f>AI30*Assumptions!$C$58*AI37/12*(1+Assumptions!$C$67)</f>
        <v>9.337159090000004</v>
      </c>
      <c r="AJ39" s="34">
        <f>AJ30*Assumptions!$C$58*AJ37/12*(1+Assumptions!$C$67)</f>
        <v>9.518463150000002</v>
      </c>
      <c r="AK39" s="34">
        <f>AK30*Assumptions!$C$58*AK37/12*(1+Assumptions!$C$67)</f>
        <v>9.699767210000001</v>
      </c>
      <c r="AL39" s="34">
        <f>AL30*Assumptions!$C$58*AL37/12*(1+Assumptions!$C$67)</f>
        <v>9.881071270000005</v>
      </c>
      <c r="AM39" s="34">
        <f>AM30*Assumptions!$C$58*AM37/12*(1+Assumptions!$C$67)</f>
        <v>10.062375330000004</v>
      </c>
      <c r="AN39" s="34">
        <f>AN30*Assumptions!$C$58*AN37/12*(1+Assumptions!$C$67)</f>
        <v>10.243679390000002</v>
      </c>
      <c r="AO39" s="34">
        <f>AO30*Assumptions!$C$58*AO37/12*(1+Assumptions!$C$67)</f>
        <v>10.424983450000003</v>
      </c>
      <c r="AP39" s="34">
        <f>AP30*Assumptions!$C$58*AP37/12*(1+Assumptions!$C$67)</f>
        <v>10.606287510000003</v>
      </c>
      <c r="AQ39" s="34">
        <f>AQ30*Assumptions!$C$58*AQ37/12*(1+Assumptions!$C$67)</f>
        <v>10.787591570000004</v>
      </c>
      <c r="AR39" s="34">
        <f>AR30*Assumptions!$C$58*AR37/12*(1+Assumptions!$C$67)</f>
        <v>11.956096236700006</v>
      </c>
      <c r="AS39" s="34">
        <f>AS30*Assumptions!$C$58*AS37/12*(1+Assumptions!$C$67)</f>
        <v>12.153717662100005</v>
      </c>
      <c r="AT39" s="34">
        <f>AT30*Assumptions!$C$58*AT37/12*(1+Assumptions!$C$67)</f>
        <v>12.351339087500005</v>
      </c>
      <c r="AU39" s="34">
        <f>AU30*Assumptions!$C$58*AU37/12*(1+Assumptions!$C$67)</f>
        <v>12.548960512900004</v>
      </c>
      <c r="AV39" s="34">
        <f>AV30*Assumptions!$C$58*AV37/12*(1+Assumptions!$C$67)</f>
        <v>12.746581938300004</v>
      </c>
      <c r="AW39" s="34">
        <f>AW30*Assumptions!$C$58*AW37/12*(1+Assumptions!$C$67)</f>
        <v>12.944203363700003</v>
      </c>
      <c r="AX39" s="34">
        <f>AX30*Assumptions!$C$58*AX37/12*(1+Assumptions!$C$67)</f>
        <v>13.141824789100006</v>
      </c>
      <c r="AY39" s="34">
        <f>AY30*Assumptions!$C$58*AY37/12*(1+Assumptions!$C$67)</f>
        <v>13.339446214500006</v>
      </c>
      <c r="AZ39" s="34">
        <f>AZ30*Assumptions!$C$58*AZ37/12*(1+Assumptions!$C$67)</f>
        <v>13.537067639900005</v>
      </c>
      <c r="BA39" s="34">
        <f>BA30*Assumptions!$C$58*BA37/12*(1+Assumptions!$C$67)</f>
        <v>13.734689065300007</v>
      </c>
      <c r="BB39" s="34">
        <f>BB30*Assumptions!$C$58*BB37/12*(1+Assumptions!$C$67)</f>
        <v>13.932310490700006</v>
      </c>
      <c r="BC39" s="34">
        <f>BC30*Assumptions!$C$58*BC37/12*(1+Assumptions!$C$67)</f>
        <v>14.129931916100007</v>
      </c>
    </row>
    <row r="40">
      <c r="A40" s="4" t="inlineStr">
        <is>
          <t>Payroll: Installer network &amp; partnerships</t>
        </is>
      </c>
      <c r="B40" s="2" t="inlineStr">
        <is>
          <t>₹ lakh</t>
        </is>
      </c>
      <c r="C40" s="34">
        <f>C31*Assumptions!$C$59*C37/12*(1+Assumptions!$C$67)</f>
        <v>0.945</v>
      </c>
      <c r="D40" s="34">
        <f>D31*Assumptions!$C$59*D37/12*(1+Assumptions!$C$67)</f>
        <v>1.26</v>
      </c>
      <c r="E40" s="34">
        <f>E31*Assumptions!$C$59*E37/12*(1+Assumptions!$C$67)</f>
        <v>1.5750000000000002</v>
      </c>
      <c r="F40" s="34">
        <f>F31*Assumptions!$C$59*F37/12*(1+Assumptions!$C$67)</f>
        <v>1.89</v>
      </c>
      <c r="G40" s="34">
        <f>G31*Assumptions!$C$59*G37/12*(1+Assumptions!$C$67)</f>
        <v>2.205</v>
      </c>
      <c r="H40" s="34">
        <f>H31*Assumptions!$C$59*H37/12*(1+Assumptions!$C$67)</f>
        <v>2.4892875000000005</v>
      </c>
      <c r="I40" s="34">
        <f>I31*Assumptions!$C$59*I37/12*(1+Assumptions!$C$67)</f>
        <v>2.6609625000000006</v>
      </c>
      <c r="J40" s="34">
        <f>J31*Assumptions!$C$59*J37/12*(1+Assumptions!$C$67)</f>
        <v>2.8326375000000006</v>
      </c>
      <c r="K40" s="34">
        <f>K31*Assumptions!$C$59*K37/12*(1+Assumptions!$C$67)</f>
        <v>3.0043125</v>
      </c>
      <c r="L40" s="34">
        <f>L31*Assumptions!$C$59*L37/12*(1+Assumptions!$C$67)</f>
        <v>3.1759875000000006</v>
      </c>
      <c r="M40" s="34">
        <f>M31*Assumptions!$C$59*M37/12*(1+Assumptions!$C$67)</f>
        <v>3.3476625000000007</v>
      </c>
      <c r="N40" s="34">
        <f>N31*Assumptions!$C$59*N37/12*(1+Assumptions!$C$67)</f>
        <v>3.519337500000001</v>
      </c>
      <c r="O40" s="34">
        <f>O31*Assumptions!$C$59*O37/12*(1+Assumptions!$C$67)</f>
        <v>3.6910125000000003</v>
      </c>
      <c r="P40" s="34">
        <f>P31*Assumptions!$C$59*P37/12*(1+Assumptions!$C$67)</f>
        <v>3.8626875000000007</v>
      </c>
      <c r="Q40" s="34">
        <f>Q31*Assumptions!$C$59*Q37/12*(1+Assumptions!$C$67)</f>
        <v>4.0343625</v>
      </c>
      <c r="R40" s="34">
        <f>R31*Assumptions!$C$59*R37/12*(1+Assumptions!$C$67)</f>
        <v>4.2060375</v>
      </c>
      <c r="S40" s="34">
        <f>S31*Assumptions!$C$59*S37/12*(1+Assumptions!$C$67)</f>
        <v>4.377712500000001</v>
      </c>
      <c r="T40" s="34">
        <f>T31*Assumptions!$C$59*T37/12*(1+Assumptions!$C$67)</f>
        <v>5.364271500000003</v>
      </c>
      <c r="U40" s="34">
        <f>U31*Assumptions!$C$59*U37/12*(1+Assumptions!$C$67)</f>
        <v>5.613772500000001</v>
      </c>
      <c r="V40" s="34">
        <f>V31*Assumptions!$C$59*V37/12*(1+Assumptions!$C$67)</f>
        <v>5.863273500000001</v>
      </c>
      <c r="W40" s="34">
        <f>W31*Assumptions!$C$59*W37/12*(1+Assumptions!$C$67)</f>
        <v>6.1127745</v>
      </c>
      <c r="X40" s="34">
        <f>X31*Assumptions!$C$59*X37/12*(1+Assumptions!$C$67)</f>
        <v>6.362275500000001</v>
      </c>
      <c r="Y40" s="34">
        <f>Y31*Assumptions!$C$59*Y37/12*(1+Assumptions!$C$67)</f>
        <v>6.611776500000003</v>
      </c>
      <c r="Z40" s="34">
        <f>Z31*Assumptions!$C$59*Z37/12*(1+Assumptions!$C$67)</f>
        <v>6.861277500000001</v>
      </c>
      <c r="AA40" s="34">
        <f>AA31*Assumptions!$C$59*AA37/12*(1+Assumptions!$C$67)</f>
        <v>7.110778500000002</v>
      </c>
      <c r="AB40" s="34">
        <f>AB31*Assumptions!$C$59*AB37/12*(1+Assumptions!$C$67)</f>
        <v>7.3602795000000025</v>
      </c>
      <c r="AC40" s="34">
        <f>AC31*Assumptions!$C$59*AC37/12*(1+Assumptions!$C$67)</f>
        <v>7.609780499999999</v>
      </c>
      <c r="AD40" s="34">
        <f>AD31*Assumptions!$C$59*AD37/12*(1+Assumptions!$C$67)</f>
        <v>7.8592815000000025</v>
      </c>
      <c r="AE40" s="34">
        <f>AE31*Assumptions!$C$59*AE37/12*(1+Assumptions!$C$67)</f>
        <v>8.108782500000004</v>
      </c>
      <c r="AF40" s="34">
        <f>AF31*Assumptions!$C$59*AF37/12*(1+Assumptions!$C$67)</f>
        <v>8.668600368750003</v>
      </c>
      <c r="AG40" s="34">
        <f>AG31*Assumptions!$C$59*AG37/12*(1+Assumptions!$C$67)</f>
        <v>8.872567436250005</v>
      </c>
      <c r="AH40" s="34">
        <f>AH31*Assumptions!$C$59*AH37/12*(1+Assumptions!$C$67)</f>
        <v>9.076534503750002</v>
      </c>
      <c r="AI40" s="34">
        <f>AI31*Assumptions!$C$59*AI37/12*(1+Assumptions!$C$67)</f>
        <v>9.28050157125</v>
      </c>
      <c r="AJ40" s="34">
        <f>AJ31*Assumptions!$C$59*AJ37/12*(1+Assumptions!$C$67)</f>
        <v>9.484468638750002</v>
      </c>
      <c r="AK40" s="34">
        <f>AK31*Assumptions!$C$59*AK37/12*(1+Assumptions!$C$67)</f>
        <v>9.688435706250003</v>
      </c>
      <c r="AL40" s="34">
        <f>AL31*Assumptions!$C$59*AL37/12*(1+Assumptions!$C$67)</f>
        <v>9.892402773750003</v>
      </c>
      <c r="AM40" s="34">
        <f>AM31*Assumptions!$C$59*AM37/12*(1+Assumptions!$C$67)</f>
        <v>10.096369841250004</v>
      </c>
      <c r="AN40" s="34">
        <f>AN31*Assumptions!$C$59*AN37/12*(1+Assumptions!$C$67)</f>
        <v>10.300336908750003</v>
      </c>
      <c r="AO40" s="34">
        <f>AO31*Assumptions!$C$59*AO37/12*(1+Assumptions!$C$67)</f>
        <v>10.504303976250002</v>
      </c>
      <c r="AP40" s="34">
        <f>AP31*Assumptions!$C$59*AP37/12*(1+Assumptions!$C$67)</f>
        <v>10.708271043750003</v>
      </c>
      <c r="AQ40" s="34">
        <f>AQ31*Assumptions!$C$59*AQ37/12*(1+Assumptions!$C$67)</f>
        <v>10.912238111250003</v>
      </c>
      <c r="AR40" s="34">
        <f>AR31*Assumptions!$C$59*AR37/12*(1+Assumptions!$C$67)</f>
        <v>12.116663644837507</v>
      </c>
      <c r="AS40" s="34">
        <f>AS31*Assumptions!$C$59*AS37/12*(1+Assumptions!$C$67)</f>
        <v>12.338987748412505</v>
      </c>
      <c r="AT40" s="34">
        <f>AT31*Assumptions!$C$59*AT37/12*(1+Assumptions!$C$67)</f>
        <v>12.561311851987506</v>
      </c>
      <c r="AU40" s="34">
        <f>AU31*Assumptions!$C$59*AU37/12*(1+Assumptions!$C$67)</f>
        <v>12.783635955562504</v>
      </c>
      <c r="AV40" s="34">
        <f>AV31*Assumptions!$C$59*AV37/12*(1+Assumptions!$C$67)</f>
        <v>13.005960059137507</v>
      </c>
      <c r="AW40" s="34">
        <f>AW31*Assumptions!$C$59*AW37/12*(1+Assumptions!$C$67)</f>
        <v>13.228284162712505</v>
      </c>
      <c r="AX40" s="34">
        <f>AX31*Assumptions!$C$59*AX37/12*(1+Assumptions!$C$67)</f>
        <v>13.450608266287505</v>
      </c>
      <c r="AY40" s="34">
        <f>AY31*Assumptions!$C$59*AY37/12*(1+Assumptions!$C$67)</f>
        <v>13.672932369862504</v>
      </c>
      <c r="AZ40" s="34">
        <f>AZ31*Assumptions!$C$59*AZ37/12*(1+Assumptions!$C$67)</f>
        <v>13.895256473437504</v>
      </c>
      <c r="BA40" s="34">
        <f>BA31*Assumptions!$C$59*BA37/12*(1+Assumptions!$C$67)</f>
        <v>14.11758057701251</v>
      </c>
      <c r="BB40" s="34">
        <f>BB31*Assumptions!$C$59*BB37/12*(1+Assumptions!$C$67)</f>
        <v>14.339904680587507</v>
      </c>
      <c r="BC40" s="34">
        <f>BC31*Assumptions!$C$59*BC37/12*(1+Assumptions!$C$67)</f>
        <v>14.562228784162505</v>
      </c>
    </row>
    <row r="41">
      <c r="A41" s="4" t="inlineStr">
        <is>
          <t>Payroll: Customer &amp; installer support</t>
        </is>
      </c>
      <c r="B41" s="2" t="inlineStr">
        <is>
          <t>₹ lakh</t>
        </is>
      </c>
      <c r="C41" s="34">
        <f>C32*Assumptions!$C$60*C37/12*(1+Assumptions!$C$67)</f>
        <v>0.23625</v>
      </c>
      <c r="D41" s="34">
        <f>D32*Assumptions!$C$60*D37/12*(1+Assumptions!$C$67)</f>
        <v>0.315</v>
      </c>
      <c r="E41" s="34">
        <f>E32*Assumptions!$C$60*E37/12*(1+Assumptions!$C$67)</f>
        <v>0.39375000000000004</v>
      </c>
      <c r="F41" s="34">
        <f>F32*Assumptions!$C$60*F37/12*(1+Assumptions!$C$67)</f>
        <v>0.4725</v>
      </c>
      <c r="G41" s="34">
        <f>G32*Assumptions!$C$60*G37/12*(1+Assumptions!$C$67)</f>
        <v>0.55125</v>
      </c>
      <c r="H41" s="34">
        <f>H32*Assumptions!$C$60*H37/12*(1+Assumptions!$C$67)</f>
        <v>0.7153125000000002</v>
      </c>
      <c r="I41" s="34">
        <f>I32*Assumptions!$C$60*I37/12*(1+Assumptions!$C$67)</f>
        <v>0.7725375000000001</v>
      </c>
      <c r="J41" s="34">
        <f>J32*Assumptions!$C$60*J37/12*(1+Assumptions!$C$67)</f>
        <v>0.8297625000000001</v>
      </c>
      <c r="K41" s="34">
        <f>K32*Assumptions!$C$60*K37/12*(1+Assumptions!$C$67)</f>
        <v>0.8869875000000003</v>
      </c>
      <c r="L41" s="34">
        <f>L32*Assumptions!$C$60*L37/12*(1+Assumptions!$C$67)</f>
        <v>0.9442125</v>
      </c>
      <c r="M41" s="34">
        <f>M32*Assumptions!$C$60*M37/12*(1+Assumptions!$C$67)</f>
        <v>1.0014375</v>
      </c>
      <c r="N41" s="34">
        <f>N32*Assumptions!$C$60*N37/12*(1+Assumptions!$C$67)</f>
        <v>1.0586625</v>
      </c>
      <c r="O41" s="34">
        <f>O32*Assumptions!$C$60*O37/12*(1+Assumptions!$C$67)</f>
        <v>1.1158875000000001</v>
      </c>
      <c r="P41" s="34">
        <f>P32*Assumptions!$C$60*P37/12*(1+Assumptions!$C$67)</f>
        <v>1.1731125000000002</v>
      </c>
      <c r="Q41" s="34">
        <f>Q32*Assumptions!$C$60*Q37/12*(1+Assumptions!$C$67)</f>
        <v>1.2303375000000003</v>
      </c>
      <c r="R41" s="34">
        <f>R32*Assumptions!$C$60*R37/12*(1+Assumptions!$C$67)</f>
        <v>1.2875625000000002</v>
      </c>
      <c r="S41" s="34">
        <f>S32*Assumptions!$C$60*S37/12*(1+Assumptions!$C$67)</f>
        <v>1.3447875</v>
      </c>
      <c r="T41" s="34">
        <f>T32*Assumptions!$C$60*T37/12*(1+Assumptions!$C$67)</f>
        <v>1.7309131875000003</v>
      </c>
      <c r="U41" s="34">
        <f>U32*Assumptions!$C$60*U37/12*(1+Assumptions!$C$67)</f>
        <v>1.8244760625000003</v>
      </c>
      <c r="V41" s="34">
        <f>V32*Assumptions!$C$60*V37/12*(1+Assumptions!$C$67)</f>
        <v>1.9180389375000009</v>
      </c>
      <c r="W41" s="34">
        <f>W32*Assumptions!$C$60*W37/12*(1+Assumptions!$C$67)</f>
        <v>2.0116018125</v>
      </c>
      <c r="X41" s="34">
        <f>X32*Assumptions!$C$60*X37/12*(1+Assumptions!$C$67)</f>
        <v>2.1051646875000003</v>
      </c>
      <c r="Y41" s="34">
        <f>Y32*Assumptions!$C$60*Y37/12*(1+Assumptions!$C$67)</f>
        <v>2.1987275625000002</v>
      </c>
      <c r="Z41" s="34">
        <f>Z32*Assumptions!$C$60*Z37/12*(1+Assumptions!$C$67)</f>
        <v>2.2922904375</v>
      </c>
      <c r="AA41" s="34">
        <f>AA32*Assumptions!$C$60*AA37/12*(1+Assumptions!$C$67)</f>
        <v>2.3858533125000005</v>
      </c>
      <c r="AB41" s="34">
        <f>AB32*Assumptions!$C$60*AB37/12*(1+Assumptions!$C$67)</f>
        <v>2.4794161875000005</v>
      </c>
      <c r="AC41" s="34">
        <f>AC32*Assumptions!$C$60*AC37/12*(1+Assumptions!$C$67)</f>
        <v>2.5729790625000004</v>
      </c>
      <c r="AD41" s="34">
        <f>AD32*Assumptions!$C$60*AD37/12*(1+Assumptions!$C$67)</f>
        <v>2.666541937500001</v>
      </c>
      <c r="AE41" s="34">
        <f>AE32*Assumptions!$C$60*AE37/12*(1+Assumptions!$C$67)</f>
        <v>2.7601048125000007</v>
      </c>
      <c r="AF41" s="34">
        <f>AF32*Assumptions!$C$60*AF37/12*(1+Assumptions!$C$67)</f>
        <v>3.1104977793750006</v>
      </c>
      <c r="AG41" s="34">
        <f>AG32*Assumptions!$C$60*AG37/12*(1+Assumptions!$C$67)</f>
        <v>3.2124813131250005</v>
      </c>
      <c r="AH41" s="34">
        <f>AH32*Assumptions!$C$60*AH37/12*(1+Assumptions!$C$67)</f>
        <v>3.314464846875001</v>
      </c>
      <c r="AI41" s="34">
        <f>AI32*Assumptions!$C$60*AI37/12*(1+Assumptions!$C$67)</f>
        <v>3.4164483806250012</v>
      </c>
      <c r="AJ41" s="34">
        <f>AJ32*Assumptions!$C$60*AJ37/12*(1+Assumptions!$C$67)</f>
        <v>3.5184319143750007</v>
      </c>
      <c r="AK41" s="34">
        <f>AK32*Assumptions!$C$60*AK37/12*(1+Assumptions!$C$67)</f>
        <v>3.620415448125001</v>
      </c>
      <c r="AL41" s="34">
        <f>AL32*Assumptions!$C$60*AL37/12*(1+Assumptions!$C$67)</f>
        <v>3.7223989818750014</v>
      </c>
      <c r="AM41" s="34">
        <f>AM32*Assumptions!$C$60*AM37/12*(1+Assumptions!$C$67)</f>
        <v>3.824382515625001</v>
      </c>
      <c r="AN41" s="34">
        <f>AN32*Assumptions!$C$60*AN37/12*(1+Assumptions!$C$67)</f>
        <v>3.9263660493750008</v>
      </c>
      <c r="AO41" s="34">
        <f>AO32*Assumptions!$C$60*AO37/12*(1+Assumptions!$C$67)</f>
        <v>4.028349583125002</v>
      </c>
      <c r="AP41" s="34">
        <f>AP32*Assumptions!$C$60*AP37/12*(1+Assumptions!$C$67)</f>
        <v>4.130333116875001</v>
      </c>
      <c r="AQ41" s="34">
        <f>AQ32*Assumptions!$C$60*AQ37/12*(1+Assumptions!$C$67)</f>
        <v>4.232316650625001</v>
      </c>
      <c r="AR41" s="34">
        <f>AR32*Assumptions!$C$60*AR37/12*(1+Assumptions!$C$67)</f>
        <v>4.724387200968752</v>
      </c>
      <c r="AS41" s="34">
        <f>AS32*Assumptions!$C$60*AS37/12*(1+Assumptions!$C$67)</f>
        <v>4.835549252756252</v>
      </c>
      <c r="AT41" s="34">
        <f>AT32*Assumptions!$C$60*AT37/12*(1+Assumptions!$C$67)</f>
        <v>4.946711304543752</v>
      </c>
      <c r="AU41" s="34">
        <f>AU32*Assumptions!$C$60*AU37/12*(1+Assumptions!$C$67)</f>
        <v>5.057873356331252</v>
      </c>
      <c r="AV41" s="34">
        <f>AV32*Assumptions!$C$60*AV37/12*(1+Assumptions!$C$67)</f>
        <v>5.169035408118752</v>
      </c>
      <c r="AW41" s="34">
        <f>AW32*Assumptions!$C$60*AW37/12*(1+Assumptions!$C$67)</f>
        <v>5.280197459906252</v>
      </c>
      <c r="AX41" s="34">
        <f>AX32*Assumptions!$C$60*AX37/12*(1+Assumptions!$C$67)</f>
        <v>5.391359511693753</v>
      </c>
      <c r="AY41" s="34">
        <f>AY32*Assumptions!$C$60*AY37/12*(1+Assumptions!$C$67)</f>
        <v>5.5025215634812525</v>
      </c>
      <c r="AZ41" s="34">
        <f>AZ32*Assumptions!$C$60*AZ37/12*(1+Assumptions!$C$67)</f>
        <v>5.613683615268753</v>
      </c>
      <c r="BA41" s="34">
        <f>BA32*Assumptions!$C$60*BA37/12*(1+Assumptions!$C$67)</f>
        <v>5.724845667056252</v>
      </c>
      <c r="BB41" s="34">
        <f>BB32*Assumptions!$C$60*BB37/12*(1+Assumptions!$C$67)</f>
        <v>5.836007718843751</v>
      </c>
      <c r="BC41" s="34">
        <f>BC32*Assumptions!$C$60*BC37/12*(1+Assumptions!$C$67)</f>
        <v>5.947169770631254</v>
      </c>
    </row>
    <row r="42">
      <c r="A42" s="4" t="inlineStr">
        <is>
          <t>Payroll: State / DISCOM sales</t>
        </is>
      </c>
      <c r="B42" s="2" t="inlineStr">
        <is>
          <t>₹ lakh</t>
        </is>
      </c>
      <c r="C42" s="34">
        <f>C33*Assumptions!$C$61*C37/12*(1+Assumptions!$C$67)</f>
        <v>0.0</v>
      </c>
      <c r="D42" s="34">
        <f>D33*Assumptions!$C$61*D37/12*(1+Assumptions!$C$67)</f>
        <v>0.0</v>
      </c>
      <c r="E42" s="34">
        <f>E33*Assumptions!$C$61*E37/12*(1+Assumptions!$C$67)</f>
        <v>0.0</v>
      </c>
      <c r="F42" s="34">
        <f>F33*Assumptions!$C$61*F37/12*(1+Assumptions!$C$67)</f>
        <v>0.0</v>
      </c>
      <c r="G42" s="34">
        <f>G33*Assumptions!$C$61*G37/12*(1+Assumptions!$C$67)</f>
        <v>0.0</v>
      </c>
      <c r="H42" s="34">
        <f>H33*Assumptions!$C$61*H37/12*(1+Assumptions!$C$67)</f>
        <v>0.9919000000000003</v>
      </c>
      <c r="I42" s="34">
        <f>I33*Assumptions!$C$61*I37/12*(1+Assumptions!$C$67)</f>
        <v>1.1445</v>
      </c>
      <c r="J42" s="34">
        <f>J33*Assumptions!$C$61*J37/12*(1+Assumptions!$C$67)</f>
        <v>1.2971000000000001</v>
      </c>
      <c r="K42" s="34">
        <f>K33*Assumptions!$C$61*K37/12*(1+Assumptions!$C$67)</f>
        <v>1.4497000000000002</v>
      </c>
      <c r="L42" s="34">
        <f>L33*Assumptions!$C$61*L37/12*(1+Assumptions!$C$67)</f>
        <v>1.6023</v>
      </c>
      <c r="M42" s="34">
        <f>M33*Assumptions!$C$61*M37/12*(1+Assumptions!$C$67)</f>
        <v>1.7549000000000006</v>
      </c>
      <c r="N42" s="34">
        <f>N33*Assumptions!$C$61*N37/12*(1+Assumptions!$C$67)</f>
        <v>1.9075000000000006</v>
      </c>
      <c r="O42" s="34">
        <f>O33*Assumptions!$C$61*O37/12*(1+Assumptions!$C$67)</f>
        <v>2.0601000000000007</v>
      </c>
      <c r="P42" s="34">
        <f>P33*Assumptions!$C$61*P37/12*(1+Assumptions!$C$67)</f>
        <v>2.2127000000000003</v>
      </c>
      <c r="Q42" s="34">
        <f>Q33*Assumptions!$C$61*Q37/12*(1+Assumptions!$C$67)</f>
        <v>2.365300000000001</v>
      </c>
      <c r="R42" s="34">
        <f>R33*Assumptions!$C$61*R37/12*(1+Assumptions!$C$67)</f>
        <v>2.5179</v>
      </c>
      <c r="S42" s="34">
        <f>S33*Assumptions!$C$61*S37/12*(1+Assumptions!$C$67)</f>
        <v>2.6705</v>
      </c>
      <c r="T42" s="34">
        <f>T33*Assumptions!$C$61*T37/12*(1+Assumptions!$C$67)</f>
        <v>3.077179000000001</v>
      </c>
      <c r="U42" s="34">
        <f>U33*Assumptions!$C$61*U37/12*(1+Assumptions!$C$67)</f>
        <v>3.2435130000000005</v>
      </c>
      <c r="V42" s="34">
        <f>V33*Assumptions!$C$61*V37/12*(1+Assumptions!$C$67)</f>
        <v>3.4098470000000005</v>
      </c>
      <c r="W42" s="34">
        <f>W33*Assumptions!$C$61*W37/12*(1+Assumptions!$C$67)</f>
        <v>3.576181000000001</v>
      </c>
      <c r="X42" s="34">
        <f>X33*Assumptions!$C$61*X37/12*(1+Assumptions!$C$67)</f>
        <v>3.742515000000001</v>
      </c>
      <c r="Y42" s="34">
        <f>Y33*Assumptions!$C$61*Y37/12*(1+Assumptions!$C$67)</f>
        <v>3.9088490000000005</v>
      </c>
      <c r="Z42" s="34">
        <f>Z33*Assumptions!$C$61*Z37/12*(1+Assumptions!$C$67)</f>
        <v>4.075183000000001</v>
      </c>
      <c r="AA42" s="34">
        <f>AA33*Assumptions!$C$61*AA37/12*(1+Assumptions!$C$67)</f>
        <v>4.241517000000002</v>
      </c>
      <c r="AB42" s="34">
        <f>AB33*Assumptions!$C$61*AB37/12*(1+Assumptions!$C$67)</f>
        <v>4.407851000000001</v>
      </c>
      <c r="AC42" s="34">
        <f>AC33*Assumptions!$C$61*AC37/12*(1+Assumptions!$C$67)</f>
        <v>4.574185000000001</v>
      </c>
      <c r="AD42" s="34">
        <f>AD33*Assumptions!$C$61*AD37/12*(1+Assumptions!$C$67)</f>
        <v>4.740519000000001</v>
      </c>
      <c r="AE42" s="34">
        <f>AE33*Assumptions!$C$61*AE37/12*(1+Assumptions!$C$67)</f>
        <v>4.906853000000002</v>
      </c>
      <c r="AF42" s="34">
        <f>AF33*Assumptions!$C$61*AF37/12*(1+Assumptions!$C$67)</f>
        <v>5.529773830000001</v>
      </c>
      <c r="AG42" s="34">
        <f>AG33*Assumptions!$C$61*AG37/12*(1+Assumptions!$C$67)</f>
        <v>5.711077890000002</v>
      </c>
      <c r="AH42" s="34">
        <f>AH33*Assumptions!$C$61*AH37/12*(1+Assumptions!$C$67)</f>
        <v>5.892381950000002</v>
      </c>
      <c r="AI42" s="34">
        <f>AI33*Assumptions!$C$61*AI37/12*(1+Assumptions!$C$67)</f>
        <v>6.073686010000001</v>
      </c>
      <c r="AJ42" s="34">
        <f>AJ33*Assumptions!$C$61*AJ37/12*(1+Assumptions!$C$67)</f>
        <v>6.254990070000002</v>
      </c>
      <c r="AK42" s="34">
        <f>AK33*Assumptions!$C$61*AK37/12*(1+Assumptions!$C$67)</f>
        <v>6.436294130000001</v>
      </c>
      <c r="AL42" s="34">
        <f>AL33*Assumptions!$C$61*AL37/12*(1+Assumptions!$C$67)</f>
        <v>6.6175981900000025</v>
      </c>
      <c r="AM42" s="34">
        <f>AM33*Assumptions!$C$61*AM37/12*(1+Assumptions!$C$67)</f>
        <v>6.798902250000002</v>
      </c>
      <c r="AN42" s="34">
        <f>AN33*Assumptions!$C$61*AN37/12*(1+Assumptions!$C$67)</f>
        <v>6.9802063100000025</v>
      </c>
      <c r="AO42" s="34">
        <f>AO33*Assumptions!$C$61*AO37/12*(1+Assumptions!$C$67)</f>
        <v>7.161510370000001</v>
      </c>
      <c r="AP42" s="34">
        <f>AP33*Assumptions!$C$61*AP37/12*(1+Assumptions!$C$67)</f>
        <v>7.342814430000003</v>
      </c>
      <c r="AQ42" s="34">
        <f>AQ33*Assumptions!$C$61*AQ37/12*(1+Assumptions!$C$67)</f>
        <v>7.524118490000002</v>
      </c>
      <c r="AR42" s="34">
        <f>AR33*Assumptions!$C$61*AR37/12*(1+Assumptions!$C$67)</f>
        <v>8.398910579500003</v>
      </c>
      <c r="AS42" s="34">
        <f>AS33*Assumptions!$C$61*AS37/12*(1+Assumptions!$C$67)</f>
        <v>8.596532004900004</v>
      </c>
      <c r="AT42" s="34">
        <f>AT33*Assumptions!$C$61*AT37/12*(1+Assumptions!$C$67)</f>
        <v>8.794153430300003</v>
      </c>
      <c r="AU42" s="34">
        <f>AU33*Assumptions!$C$61*AU37/12*(1+Assumptions!$C$67)</f>
        <v>8.991774855700003</v>
      </c>
      <c r="AV42" s="34">
        <f>AV33*Assumptions!$C$61*AV37/12*(1+Assumptions!$C$67)</f>
        <v>9.189396281100004</v>
      </c>
      <c r="AW42" s="34">
        <f>AW33*Assumptions!$C$61*AW37/12*(1+Assumptions!$C$67)</f>
        <v>9.387017706500002</v>
      </c>
      <c r="AX42" s="34">
        <f>AX33*Assumptions!$C$61*AX37/12*(1+Assumptions!$C$67)</f>
        <v>9.584639131900005</v>
      </c>
      <c r="AY42" s="34">
        <f>AY33*Assumptions!$C$61*AY37/12*(1+Assumptions!$C$67)</f>
        <v>9.782260557300004</v>
      </c>
      <c r="AZ42" s="34">
        <f>AZ33*Assumptions!$C$61*AZ37/12*(1+Assumptions!$C$67)</f>
        <v>9.979881982700004</v>
      </c>
      <c r="BA42" s="34">
        <f>BA33*Assumptions!$C$61*BA37/12*(1+Assumptions!$C$67)</f>
        <v>10.177503408100005</v>
      </c>
      <c r="BB42" s="34">
        <f>BB33*Assumptions!$C$61*BB37/12*(1+Assumptions!$C$67)</f>
        <v>10.375124833500005</v>
      </c>
      <c r="BC42" s="34">
        <f>BC33*Assumptions!$C$61*BC37/12*(1+Assumptions!$C$67)</f>
        <v>10.572746258900004</v>
      </c>
    </row>
    <row r="43">
      <c r="A43" s="4" t="inlineStr">
        <is>
          <t>Payroll: G&amp;A (founder-CEO, finance, HR, legal)</t>
        </is>
      </c>
      <c r="B43" s="2" t="inlineStr">
        <is>
          <t>₹ lakh</t>
        </is>
      </c>
      <c r="C43" s="34">
        <f>C34*Assumptions!$C$62*C37/12*(1+Assumptions!$C$67)</f>
        <v>1.3125</v>
      </c>
      <c r="D43" s="34">
        <f>D34*Assumptions!$C$62*D37/12*(1+Assumptions!$C$67)</f>
        <v>1.3125</v>
      </c>
      <c r="E43" s="34">
        <f>E34*Assumptions!$C$62*E37/12*(1+Assumptions!$C$67)</f>
        <v>1.3125</v>
      </c>
      <c r="F43" s="34">
        <f>F34*Assumptions!$C$62*F37/12*(1+Assumptions!$C$67)</f>
        <v>1.3125</v>
      </c>
      <c r="G43" s="34">
        <f>G34*Assumptions!$C$62*G37/12*(1+Assumptions!$C$67)</f>
        <v>1.3125</v>
      </c>
      <c r="H43" s="34">
        <f>H34*Assumptions!$C$62*H37/12*(1+Assumptions!$C$67)</f>
        <v>1.7644375000000003</v>
      </c>
      <c r="I43" s="34">
        <f>I34*Assumptions!$C$62*I37/12*(1+Assumptions!$C$67)</f>
        <v>1.8598125000000003</v>
      </c>
      <c r="J43" s="34">
        <f>J34*Assumptions!$C$62*J37/12*(1+Assumptions!$C$67)</f>
        <v>1.9551875000000003</v>
      </c>
      <c r="K43" s="34">
        <f>K34*Assumptions!$C$62*K37/12*(1+Assumptions!$C$67)</f>
        <v>2.0505625000000007</v>
      </c>
      <c r="L43" s="34">
        <f>L34*Assumptions!$C$62*L37/12*(1+Assumptions!$C$67)</f>
        <v>2.1459375000000005</v>
      </c>
      <c r="M43" s="34">
        <f>M34*Assumptions!$C$62*M37/12*(1+Assumptions!$C$67)</f>
        <v>2.2413125000000003</v>
      </c>
      <c r="N43" s="34">
        <f>N34*Assumptions!$C$62*N37/12*(1+Assumptions!$C$67)</f>
        <v>2.3366875000000005</v>
      </c>
      <c r="O43" s="34">
        <f>O34*Assumptions!$C$62*O37/12*(1+Assumptions!$C$67)</f>
        <v>2.4320625000000007</v>
      </c>
      <c r="P43" s="34">
        <f>P34*Assumptions!$C$62*P37/12*(1+Assumptions!$C$67)</f>
        <v>2.527437500000001</v>
      </c>
      <c r="Q43" s="34">
        <f>Q34*Assumptions!$C$62*Q37/12*(1+Assumptions!$C$67)</f>
        <v>2.6228125</v>
      </c>
      <c r="R43" s="34">
        <f>R34*Assumptions!$C$62*R37/12*(1+Assumptions!$C$67)</f>
        <v>2.718187500000001</v>
      </c>
      <c r="S43" s="34">
        <f>S34*Assumptions!$C$62*S37/12*(1+Assumptions!$C$67)</f>
        <v>2.8135625</v>
      </c>
      <c r="T43" s="34">
        <f>T34*Assumptions!$C$62*T37/12*(1+Assumptions!$C$67)</f>
        <v>3.8464737500000004</v>
      </c>
      <c r="U43" s="34">
        <f>U34*Assumptions!$C$62*U37/12*(1+Assumptions!$C$67)</f>
        <v>4.054391250000001</v>
      </c>
      <c r="V43" s="34">
        <f>V34*Assumptions!$C$62*V37/12*(1+Assumptions!$C$67)</f>
        <v>4.262308750000001</v>
      </c>
      <c r="W43" s="34">
        <f>W34*Assumptions!$C$62*W37/12*(1+Assumptions!$C$67)</f>
        <v>4.470226250000002</v>
      </c>
      <c r="X43" s="34">
        <f>X34*Assumptions!$C$62*X37/12*(1+Assumptions!$C$67)</f>
        <v>4.678143750000001</v>
      </c>
      <c r="Y43" s="34">
        <f>Y34*Assumptions!$C$62*Y37/12*(1+Assumptions!$C$67)</f>
        <v>4.88606125</v>
      </c>
      <c r="Z43" s="34">
        <f>Z34*Assumptions!$C$62*Z37/12*(1+Assumptions!$C$67)</f>
        <v>5.0939787500000016</v>
      </c>
      <c r="AA43" s="34">
        <f>AA34*Assumptions!$C$62*AA37/12*(1+Assumptions!$C$67)</f>
        <v>5.301896250000001</v>
      </c>
      <c r="AB43" s="34">
        <f>AB34*Assumptions!$C$62*AB37/12*(1+Assumptions!$C$67)</f>
        <v>5.509813750000002</v>
      </c>
      <c r="AC43" s="34">
        <f>AC34*Assumptions!$C$62*AC37/12*(1+Assumptions!$C$67)</f>
        <v>5.717731250000002</v>
      </c>
      <c r="AD43" s="34">
        <f>AD34*Assumptions!$C$62*AD37/12*(1+Assumptions!$C$67)</f>
        <v>5.9256487500000015</v>
      </c>
      <c r="AE43" s="34">
        <f>AE34*Assumptions!$C$62*AE37/12*(1+Assumptions!$C$67)</f>
        <v>6.133566250000001</v>
      </c>
      <c r="AF43" s="34">
        <f>AF34*Assumptions!$C$62*AF37/12*(1+Assumptions!$C$67)</f>
        <v>6.912217287500002</v>
      </c>
      <c r="AG43" s="34">
        <f>AG34*Assumptions!$C$62*AG37/12*(1+Assumptions!$C$67)</f>
        <v>7.138847362500002</v>
      </c>
      <c r="AH43" s="34">
        <f>AH34*Assumptions!$C$62*AH37/12*(1+Assumptions!$C$67)</f>
        <v>7.365477437500003</v>
      </c>
      <c r="AI43" s="34">
        <f>AI34*Assumptions!$C$62*AI37/12*(1+Assumptions!$C$67)</f>
        <v>7.592107512500001</v>
      </c>
      <c r="AJ43" s="34">
        <f>AJ34*Assumptions!$C$62*AJ37/12*(1+Assumptions!$C$67)</f>
        <v>7.818737587500004</v>
      </c>
      <c r="AK43" s="34">
        <f>AK34*Assumptions!$C$62*AK37/12*(1+Assumptions!$C$67)</f>
        <v>8.045367662500002</v>
      </c>
      <c r="AL43" s="34">
        <f>AL34*Assumptions!$C$62*AL37/12*(1+Assumptions!$C$67)</f>
        <v>8.271997737500001</v>
      </c>
      <c r="AM43" s="34">
        <f>AM34*Assumptions!$C$62*AM37/12*(1+Assumptions!$C$67)</f>
        <v>8.498627812500002</v>
      </c>
      <c r="AN43" s="34">
        <f>AN34*Assumptions!$C$62*AN37/12*(1+Assumptions!$C$67)</f>
        <v>8.725257887500002</v>
      </c>
      <c r="AO43" s="34">
        <f>AO34*Assumptions!$C$62*AO37/12*(1+Assumptions!$C$67)</f>
        <v>8.9518879625</v>
      </c>
      <c r="AP43" s="34">
        <f>AP34*Assumptions!$C$62*AP37/12*(1+Assumptions!$C$67)</f>
        <v>9.178518037500004</v>
      </c>
      <c r="AQ43" s="34">
        <f>AQ34*Assumptions!$C$62*AQ37/12*(1+Assumptions!$C$67)</f>
        <v>9.405148112500004</v>
      </c>
      <c r="AR43" s="34">
        <f>AR34*Assumptions!$C$62*AR37/12*(1+Assumptions!$C$67)</f>
        <v>10.498638224375004</v>
      </c>
      <c r="AS43" s="34">
        <f>AS34*Assumptions!$C$62*AS37/12*(1+Assumptions!$C$67)</f>
        <v>10.745665006125005</v>
      </c>
      <c r="AT43" s="34">
        <f>AT34*Assumptions!$C$62*AT37/12*(1+Assumptions!$C$67)</f>
        <v>10.992691787875005</v>
      </c>
      <c r="AU43" s="34">
        <f>AU34*Assumptions!$C$62*AU37/12*(1+Assumptions!$C$67)</f>
        <v>11.239718569625003</v>
      </c>
      <c r="AV43" s="34">
        <f>AV34*Assumptions!$C$62*AV37/12*(1+Assumptions!$C$67)</f>
        <v>11.486745351375005</v>
      </c>
      <c r="AW43" s="34">
        <f>AW34*Assumptions!$C$62*AW37/12*(1+Assumptions!$C$67)</f>
        <v>11.733772133125004</v>
      </c>
      <c r="AX43" s="34">
        <f>AX34*Assumptions!$C$62*AX37/12*(1+Assumptions!$C$67)</f>
        <v>11.980798914875008</v>
      </c>
      <c r="AY43" s="34">
        <f>AY34*Assumptions!$C$62*AY37/12*(1+Assumptions!$C$67)</f>
        <v>12.227825696625008</v>
      </c>
      <c r="AZ43" s="34">
        <f>AZ34*Assumptions!$C$62*AZ37/12*(1+Assumptions!$C$67)</f>
        <v>12.474852478375004</v>
      </c>
      <c r="BA43" s="34">
        <f>BA34*Assumptions!$C$62*BA37/12*(1+Assumptions!$C$67)</f>
        <v>12.721879260125004</v>
      </c>
      <c r="BB43" s="34">
        <f>BB34*Assumptions!$C$62*BB37/12*(1+Assumptions!$C$67)</f>
        <v>12.968906041875004</v>
      </c>
      <c r="BC43" s="34">
        <f>BC34*Assumptions!$C$62*BC37/12*(1+Assumptions!$C$67)</f>
        <v>13.215932823625003</v>
      </c>
    </row>
    <row r="44">
      <c r="A44" s="4" t="inlineStr">
        <is>
          <t>Payroll: lead-verification callers</t>
        </is>
      </c>
      <c r="B44" s="2" t="inlineStr">
        <is>
          <t>₹ lakh</t>
        </is>
      </c>
      <c r="C44" s="34">
        <f>C35*Assumptions!$C$63*C37/12*(1+Assumptions!$C$67)</f>
        <v>0.06860000000000001</v>
      </c>
      <c r="D44" s="34">
        <f>D35*Assumptions!$C$63*D37/12*(1+Assumptions!$C$67)</f>
        <v>0.12005000000000002</v>
      </c>
      <c r="E44" s="34">
        <f>E35*Assumptions!$C$63*E37/12*(1+Assumptions!$C$67)</f>
        <v>0.17150000000000004</v>
      </c>
      <c r="F44" s="34">
        <f>F35*Assumptions!$C$63*F37/12*(1+Assumptions!$C$67)</f>
        <v>0.22295</v>
      </c>
      <c r="G44" s="34">
        <f>G35*Assumptions!$C$63*G37/12*(1+Assumptions!$C$67)</f>
        <v>0.27440000000000003</v>
      </c>
      <c r="H44" s="34">
        <f>H35*Assumptions!$C$63*H37/12*(1+Assumptions!$C$67)</f>
        <v>0.3411900377880047</v>
      </c>
      <c r="I44" s="34">
        <f>I35*Assumptions!$C$63*I37/12*(1+Assumptions!$C$67)</f>
        <v>0.3892082872581988</v>
      </c>
      <c r="J44" s="34">
        <f>J35*Assumptions!$C$63*J37/12*(1+Assumptions!$C$67)</f>
        <v>0.44398450743917545</v>
      </c>
      <c r="K44" s="34">
        <f>K35*Assumptions!$C$63*K37/12*(1+Assumptions!$C$67)</f>
        <v>0.5064697985611962</v>
      </c>
      <c r="L44" s="34">
        <f>L35*Assumptions!$C$63*L37/12*(1+Assumptions!$C$67)</f>
        <v>0.5777491163692418</v>
      </c>
      <c r="M44" s="34">
        <f>M35*Assumptions!$C$63*M37/12*(1+Assumptions!$C$67)</f>
        <v>0.659060110620024</v>
      </c>
      <c r="N44" s="34">
        <f>N35*Assumptions!$C$63*N37/12*(1+Assumptions!$C$67)</f>
        <v>0.7518146148628206</v>
      </c>
      <c r="O44" s="34">
        <f>O35*Assumptions!$C$63*O37/12*(1+Assumptions!$C$67)</f>
        <v>0.8576231606394484</v>
      </c>
      <c r="P44" s="34">
        <f>P35*Assumptions!$C$63*P37/12*(1+Assumptions!$C$67)</f>
        <v>0.9783229417526089</v>
      </c>
      <c r="Q44" s="34">
        <f>Q35*Assumptions!$C$63*Q37/12*(1+Assumptions!$C$67)</f>
        <v>1.1160097141567948</v>
      </c>
      <c r="R44" s="34">
        <f>R35*Assumptions!$C$63*R37/12*(1+Assumptions!$C$67)</f>
        <v>1.2730741853616692</v>
      </c>
      <c r="S44" s="34">
        <f>S35*Assumptions!$C$63*S37/12*(1+Assumptions!$C$67)</f>
        <v>1.452243525190828</v>
      </c>
      <c r="T44" s="34">
        <f>T35*Assumptions!$C$63*T37/12*(1+Assumptions!$C$67)</f>
        <v>1.695774236817439</v>
      </c>
      <c r="U44" s="34">
        <f>U35*Assumptions!$C$63*U37/12*(1+Assumptions!$C$67)</f>
        <v>1.8166452141196006</v>
      </c>
      <c r="V44" s="34">
        <f>V35*Assumptions!$C$63*V37/12*(1+Assumptions!$C$67)</f>
        <v>1.9461316030943872</v>
      </c>
      <c r="W44" s="34">
        <f>W35*Assumptions!$C$63*W37/12*(1+Assumptions!$C$67)</f>
        <v>2.0848474909274977</v>
      </c>
      <c r="X44" s="34">
        <f>X35*Assumptions!$C$63*X37/12*(1+Assumptions!$C$67)</f>
        <v>2.2334507355594564</v>
      </c>
      <c r="Y44" s="34">
        <f>Y35*Assumptions!$C$63*Y37/12*(1+Assumptions!$C$67)</f>
        <v>2.392646085566621</v>
      </c>
      <c r="Z44" s="34">
        <f>Z35*Assumptions!$C$63*Z37/12*(1+Assumptions!$C$67)</f>
        <v>2.5631885224203663</v>
      </c>
      <c r="AA44" s="34">
        <f>AA35*Assumptions!$C$63*AA37/12*(1+Assumptions!$C$67)</f>
        <v>2.7458868409749138</v>
      </c>
      <c r="AB44" s="34">
        <f>AB35*Assumptions!$C$63*AB37/12*(1+Assumptions!$C$67)</f>
        <v>2.941607485164344</v>
      </c>
      <c r="AC44" s="34">
        <f>AC35*Assumptions!$C$63*AC37/12*(1+Assumptions!$C$67)</f>
        <v>3.1512786570996276</v>
      </c>
      <c r="AD44" s="34">
        <f>AD35*Assumptions!$C$63*AD37/12*(1+Assumptions!$C$67)</f>
        <v>3.3758947190525235</v>
      </c>
      <c r="AE44" s="34">
        <f>AE35*Assumptions!$C$63*AE37/12*(1+Assumptions!$C$67)</f>
        <v>3.6165209092032296</v>
      </c>
      <c r="AF44" s="34">
        <f>AF35*Assumptions!$C$63*AF37/12*(1+Assumptions!$C$67)</f>
        <v>4.1694969970304285</v>
      </c>
      <c r="AG44" s="34">
        <f>AG35*Assumptions!$C$63*AG37/12*(1+Assumptions!$C$67)</f>
        <v>4.410114370600198</v>
      </c>
      <c r="AH44" s="34">
        <f>AH35*Assumptions!$C$63*AH37/12*(1+Assumptions!$C$67)</f>
        <v>4.664617524758039</v>
      </c>
      <c r="AI44" s="34">
        <f>AI35*Assumptions!$C$63*AI37/12*(1+Assumptions!$C$67)</f>
        <v>4.933807793587596</v>
      </c>
      <c r="AJ44" s="34">
        <f>AJ35*Assumptions!$C$63*AJ37/12*(1+Assumptions!$C$67)</f>
        <v>5.218532755336343</v>
      </c>
      <c r="AK44" s="34">
        <f>AK35*Assumptions!$C$63*AK37/12*(1+Assumptions!$C$67)</f>
        <v>5.519688901118652</v>
      </c>
      <c r="AL44" s="34">
        <f>AL35*Assumptions!$C$63*AL37/12*(1+Assumptions!$C$67)</f>
        <v>5.838224457627098</v>
      </c>
      <c r="AM44" s="34">
        <f>AM35*Assumptions!$C$63*AM37/12*(1+Assumptions!$C$67)</f>
        <v>6.175142372738981</v>
      </c>
      <c r="AN44" s="34">
        <f>AN35*Assumptions!$C$63*AN37/12*(1+Assumptions!$C$67)</f>
        <v>6.531503473419865</v>
      </c>
      <c r="AO44" s="34">
        <f>AO35*Assumptions!$C$63*AO37/12*(1+Assumptions!$C$67)</f>
        <v>6.908429805866017</v>
      </c>
      <c r="AP44" s="34">
        <f>AP35*Assumptions!$C$63*AP37/12*(1+Assumptions!$C$67)</f>
        <v>7.307108168402871</v>
      </c>
      <c r="AQ44" s="34">
        <f>AQ35*Assumptions!$C$63*AQ37/12*(1+Assumptions!$C$67)</f>
        <v>7.728793848263862</v>
      </c>
      <c r="AR44" s="34">
        <f>AR35*Assumptions!$C$63*AR37/12*(1+Assumptions!$C$67)</f>
        <v>8.655284668465422</v>
      </c>
      <c r="AS44" s="34">
        <f>AS35*Assumptions!$C$63*AS37/12*(1+Assumptions!$C$67)</f>
        <v>8.892512637108966</v>
      </c>
      <c r="AT44" s="34">
        <f>AT35*Assumptions!$C$63*AT37/12*(1+Assumptions!$C$67)</f>
        <v>9.136242657535062</v>
      </c>
      <c r="AU44" s="34">
        <f>AU35*Assumptions!$C$63*AU37/12*(1+Assumptions!$C$67)</f>
        <v>9.386652940928446</v>
      </c>
      <c r="AV44" s="34">
        <f>AV35*Assumptions!$C$63*AV37/12*(1+Assumptions!$C$67)</f>
        <v>9.643926582967195</v>
      </c>
      <c r="AW44" s="34">
        <f>AW35*Assumptions!$C$63*AW37/12*(1+Assumptions!$C$67)</f>
        <v>9.908251697698581</v>
      </c>
      <c r="AX44" s="34">
        <f>AX35*Assumptions!$C$63*AX37/12*(1+Assumptions!$C$67)</f>
        <v>10.179821555084988</v>
      </c>
      <c r="AY44" s="34">
        <f>AY35*Assumptions!$C$63*AY37/12*(1+Assumptions!$C$67)</f>
        <v>10.458834722319684</v>
      </c>
      <c r="AZ44" s="34">
        <f>AZ35*Assumptions!$C$63*AZ37/12*(1+Assumptions!$C$67)</f>
        <v>10.74549520901564</v>
      </c>
      <c r="BA44" s="34">
        <f>BA35*Assumptions!$C$63*BA37/12*(1+Assumptions!$C$67)</f>
        <v>11.040012616373751</v>
      </c>
      <c r="BB44" s="34">
        <f>BB35*Assumptions!$C$63*BB37/12*(1+Assumptions!$C$67)</f>
        <v>11.342602290439991</v>
      </c>
      <c r="BC44" s="34">
        <f>BC35*Assumptions!$C$63*BC37/12*(1+Assumptions!$C$67)</f>
        <v>11.653485479562208</v>
      </c>
    </row>
    <row r="45">
      <c r="A45" s="3" t="inlineStr">
        <is>
          <t>Total payroll</t>
        </is>
      </c>
      <c r="B45" s="2" t="inlineStr">
        <is>
          <t>₹ lakh</t>
        </is>
      </c>
      <c r="C45" s="35">
        <f>SUM(C38:C44)</f>
        <v>10.78735</v>
      </c>
      <c r="D45" s="35">
        <f>SUM(D38:D44)</f>
        <v>12.982550000000002</v>
      </c>
      <c r="E45" s="35">
        <f>SUM(E38:E44)</f>
        <v>15.177750000000001</v>
      </c>
      <c r="F45" s="35">
        <f>SUM(F38:F44)</f>
        <v>17.37295</v>
      </c>
      <c r="G45" s="35">
        <f>SUM(G38:G44)</f>
        <v>19.56815</v>
      </c>
      <c r="H45" s="35">
        <f>SUM(H38:H44)</f>
        <v>23.882919204454673</v>
      </c>
      <c r="I45" s="35">
        <f>SUM(I38:I44)</f>
        <v>25.539595787258204</v>
      </c>
      <c r="J45" s="35">
        <f>SUM(J38:J44)</f>
        <v>27.203030340772514</v>
      </c>
      <c r="K45" s="35">
        <f>SUM(K38:K44)</f>
        <v>28.874173965227868</v>
      </c>
      <c r="L45" s="35">
        <f>SUM(L38:L44)</f>
        <v>30.55411161636924</v>
      </c>
      <c r="M45" s="35">
        <f>SUM(M38:M44)</f>
        <v>32.244080943953364</v>
      </c>
      <c r="N45" s="35">
        <f>SUM(N38:N44)</f>
        <v>33.9454937815295</v>
      </c>
      <c r="O45" s="35">
        <f>SUM(O38:O44)</f>
        <v>35.659960660639456</v>
      </c>
      <c r="P45" s="35">
        <f>SUM(P38:P44)</f>
        <v>37.38931877508595</v>
      </c>
      <c r="Q45" s="35">
        <f>SUM(Q38:Q44)</f>
        <v>39.135663880823465</v>
      </c>
      <c r="R45" s="35">
        <f>SUM(R38:R44)</f>
        <v>40.90138668536167</v>
      </c>
      <c r="S45" s="35">
        <f>SUM(S38:S44)</f>
        <v>42.689214358524175</v>
      </c>
      <c r="T45" s="35">
        <f>SUM(T38:T44)</f>
        <v>49.23091267431746</v>
      </c>
      <c r="U45" s="35">
        <f>SUM(U38:U44)</f>
        <v>51.23343702661962</v>
      </c>
      <c r="V45" s="35">
        <f>SUM(V38:V44)</f>
        <v>53.244576790594394</v>
      </c>
      <c r="W45" s="35">
        <f>SUM(W38:W44)</f>
        <v>55.26494605342751</v>
      </c>
      <c r="X45" s="35">
        <f>SUM(X38:X44)</f>
        <v>57.29520267305948</v>
      </c>
      <c r="Y45" s="35">
        <f>SUM(Y38:Y44)</f>
        <v>59.33605139806664</v>
      </c>
      <c r="Z45" s="35">
        <f>SUM(Z38:Z44)</f>
        <v>61.38824720992039</v>
      </c>
      <c r="AA45" s="35">
        <f>SUM(AA38:AA44)</f>
        <v>63.45259890347492</v>
      </c>
      <c r="AB45" s="35">
        <f>SUM(AB38:AB44)</f>
        <v>65.52997292266436</v>
      </c>
      <c r="AC45" s="35">
        <f>SUM(AC38:AC44)</f>
        <v>67.62129746959964</v>
      </c>
      <c r="AD45" s="35">
        <f>SUM(AD38:AD44)</f>
        <v>69.72756690655254</v>
      </c>
      <c r="AE45" s="35">
        <f>SUM(AE38:AE44)</f>
        <v>71.84984647170324</v>
      </c>
      <c r="AF45" s="35">
        <f>SUM(AF38:AF44)</f>
        <v>79.56365719765546</v>
      </c>
      <c r="AG45" s="35">
        <f>SUM(AG38:AG44)</f>
        <v>81.69663569747522</v>
      </c>
      <c r="AH45" s="35">
        <f>SUM(AH38:AH44)</f>
        <v>83.84349997788307</v>
      </c>
      <c r="AI45" s="35">
        <f>SUM(AI38:AI44)</f>
        <v>86.00505137296261</v>
      </c>
      <c r="AJ45" s="35">
        <f>SUM(AJ38:AJ44)</f>
        <v>88.18213746096137</v>
      </c>
      <c r="AK45" s="35">
        <f>SUM(AK38:AK44)</f>
        <v>90.37565473299367</v>
      </c>
      <c r="AL45" s="35">
        <f>SUM(AL38:AL44)</f>
        <v>92.58655141575214</v>
      </c>
      <c r="AM45" s="35">
        <f>SUM(AM38:AM44)</f>
        <v>94.815830457114</v>
      </c>
      <c r="AN45" s="35">
        <f>SUM(AN38:AN44)</f>
        <v>97.0645526840449</v>
      </c>
      <c r="AO45" s="35">
        <f>SUM(AO38:AO44)</f>
        <v>99.33384014274104</v>
      </c>
      <c r="AP45" s="35">
        <f>SUM(AP38:AP44)</f>
        <v>101.62487963152789</v>
      </c>
      <c r="AQ45" s="35">
        <f>SUM(AQ38:AQ44)</f>
        <v>103.93892643763888</v>
      </c>
      <c r="AR45" s="35">
        <f>SUM(AR38:AR44)</f>
        <v>115.58700281849671</v>
      </c>
      <c r="AS45" s="35">
        <f>SUM(AS38:AS44)</f>
        <v>117.88690441475276</v>
      </c>
      <c r="AT45" s="35">
        <f>SUM(AT38:AT44)</f>
        <v>120.19330806279137</v>
      </c>
      <c r="AU45" s="35">
        <f>SUM(AU38:AU44)</f>
        <v>122.50639197379724</v>
      </c>
      <c r="AV45" s="35">
        <f>SUM(AV38:AV44)</f>
        <v>124.8263392434485</v>
      </c>
      <c r="AW45" s="35">
        <f>SUM(AW38:AW44)</f>
        <v>127.15333798579238</v>
      </c>
      <c r="AX45" s="35">
        <f>SUM(AX38:AX44)</f>
        <v>129.4875814707913</v>
      </c>
      <c r="AY45" s="35">
        <f>SUM(AY38:AY44)</f>
        <v>131.8292682656385</v>
      </c>
      <c r="AZ45" s="35">
        <f>SUM(AZ38:AZ44)</f>
        <v>134.1786023799469</v>
      </c>
      <c r="BA45" s="35">
        <f>SUM(BA38:BA44)</f>
        <v>136.53579341491758</v>
      </c>
      <c r="BB45" s="35">
        <f>SUM(BB38:BB44)</f>
        <v>138.9010567165963</v>
      </c>
      <c r="BC45" s="35">
        <f>SUM(BC38:BC44)</f>
        <v>141.274613533331</v>
      </c>
    </row>
    <row r="46">
      <c r="A46" s="4" t="inlineStr">
        <is>
          <t>G&amp;A</t>
        </is>
      </c>
      <c r="B46" s="2" t="inlineStr">
        <is>
          <t>₹ lakh</t>
        </is>
      </c>
      <c r="C46" s="34">
        <f>C45*Assumptions!$C$71</f>
        <v>1.6181025</v>
      </c>
      <c r="D46" s="34">
        <f>D45*Assumptions!$C$71</f>
        <v>1.9473825000000002</v>
      </c>
      <c r="E46" s="34">
        <f>E45*Assumptions!$C$71</f>
        <v>2.2766625</v>
      </c>
      <c r="F46" s="34">
        <f>F45*Assumptions!$C$71</f>
        <v>2.6059425</v>
      </c>
      <c r="G46" s="34">
        <f>G45*Assumptions!$C$71</f>
        <v>2.9352224999999996</v>
      </c>
      <c r="H46" s="34">
        <f>H45*Assumptions!$C$71</f>
        <v>3.5824378806682007</v>
      </c>
      <c r="I46" s="34">
        <f>I45*Assumptions!$C$71</f>
        <v>3.8309393680887305</v>
      </c>
      <c r="J46" s="34">
        <f>J45*Assumptions!$C$71</f>
        <v>4.080454551115877</v>
      </c>
      <c r="K46" s="34">
        <f>K45*Assumptions!$C$71</f>
        <v>4.33112609478418</v>
      </c>
      <c r="L46" s="34">
        <f>L45*Assumptions!$C$71</f>
        <v>4.583116742455386</v>
      </c>
      <c r="M46" s="34">
        <f>M45*Assumptions!$C$71</f>
        <v>4.836612141593005</v>
      </c>
      <c r="N46" s="34">
        <f>N45*Assumptions!$C$71</f>
        <v>5.091824067229425</v>
      </c>
      <c r="O46" s="34">
        <f>O45*Assumptions!$C$71</f>
        <v>5.348994099095918</v>
      </c>
      <c r="P46" s="34">
        <f>P45*Assumptions!$C$71</f>
        <v>5.608397816262892</v>
      </c>
      <c r="Q46" s="34">
        <f>Q45*Assumptions!$C$71</f>
        <v>5.870349582123519</v>
      </c>
      <c r="R46" s="34">
        <f>R45*Assumptions!$C$71</f>
        <v>6.135208002804251</v>
      </c>
      <c r="S46" s="34">
        <f>S45*Assumptions!$C$71</f>
        <v>6.403382153778626</v>
      </c>
      <c r="T46" s="34">
        <f>T45*Assumptions!$C$71</f>
        <v>7.384636901147618</v>
      </c>
      <c r="U46" s="34">
        <f>U45*Assumptions!$C$71</f>
        <v>7.685015553992942</v>
      </c>
      <c r="V46" s="34">
        <f>V45*Assumptions!$C$71</f>
        <v>7.986686518589159</v>
      </c>
      <c r="W46" s="34">
        <f>W45*Assumptions!$C$71</f>
        <v>8.289741908014125</v>
      </c>
      <c r="X46" s="34">
        <f>X45*Assumptions!$C$71</f>
        <v>8.59428040095892</v>
      </c>
      <c r="Y46" s="34">
        <f>Y45*Assumptions!$C$71</f>
        <v>8.900407709709995</v>
      </c>
      <c r="Z46" s="34">
        <f>Z45*Assumptions!$C$71</f>
        <v>9.208237081488058</v>
      </c>
      <c r="AA46" s="34">
        <f>AA45*Assumptions!$C$71</f>
        <v>9.517889835521238</v>
      </c>
      <c r="AB46" s="34">
        <f>AB45*Assumptions!$C$71</f>
        <v>9.829495938399653</v>
      </c>
      <c r="AC46" s="34">
        <f>AC45*Assumptions!$C$71</f>
        <v>10.143194620439946</v>
      </c>
      <c r="AD46" s="34">
        <f>AD45*Assumptions!$C$71</f>
        <v>10.45913503598288</v>
      </c>
      <c r="AE46" s="34">
        <f>AE45*Assumptions!$C$71</f>
        <v>10.777476970755487</v>
      </c>
      <c r="AF46" s="34">
        <f>AF45*Assumptions!$C$71</f>
        <v>11.934548579648318</v>
      </c>
      <c r="AG46" s="34">
        <f>AG45*Assumptions!$C$71</f>
        <v>12.254495354621282</v>
      </c>
      <c r="AH46" s="34">
        <f>AH45*Assumptions!$C$71</f>
        <v>12.57652499668246</v>
      </c>
      <c r="AI46" s="34">
        <f>AI45*Assumptions!$C$71</f>
        <v>12.900757705944391</v>
      </c>
      <c r="AJ46" s="34">
        <f>AJ45*Assumptions!$C$71</f>
        <v>13.227320619144205</v>
      </c>
      <c r="AK46" s="34">
        <f>AK45*Assumptions!$C$71</f>
        <v>13.55634820994905</v>
      </c>
      <c r="AL46" s="34">
        <f>AL45*Assumptions!$C$71</f>
        <v>13.88798271236282</v>
      </c>
      <c r="AM46" s="34">
        <f>AM45*Assumptions!$C$71</f>
        <v>14.2223745685671</v>
      </c>
      <c r="AN46" s="34">
        <f>AN45*Assumptions!$C$71</f>
        <v>14.559682902606735</v>
      </c>
      <c r="AO46" s="34">
        <f>AO45*Assumptions!$C$71</f>
        <v>14.900076021411156</v>
      </c>
      <c r="AP46" s="34">
        <f>AP45*Assumptions!$C$71</f>
        <v>15.243731944729182</v>
      </c>
      <c r="AQ46" s="34">
        <f>AQ45*Assumptions!$C$71</f>
        <v>15.590838965645831</v>
      </c>
      <c r="AR46" s="34">
        <f>AR45*Assumptions!$C$71</f>
        <v>17.338050422774508</v>
      </c>
      <c r="AS46" s="34">
        <f>AS45*Assumptions!$C$71</f>
        <v>17.683035662212912</v>
      </c>
      <c r="AT46" s="34">
        <f>AT45*Assumptions!$C$71</f>
        <v>18.028996209418704</v>
      </c>
      <c r="AU46" s="34">
        <f>AU45*Assumptions!$C$71</f>
        <v>18.375958796069586</v>
      </c>
      <c r="AV46" s="34">
        <f>AV45*Assumptions!$C$71</f>
        <v>18.723950886517276</v>
      </c>
      <c r="AW46" s="34">
        <f>AW45*Assumptions!$C$71</f>
        <v>19.073000697868856</v>
      </c>
      <c r="AX46" s="34">
        <f>AX45*Assumptions!$C$71</f>
        <v>19.423137220618695</v>
      </c>
      <c r="AY46" s="34">
        <f>AY45*Assumptions!$C$71</f>
        <v>19.774390239845772</v>
      </c>
      <c r="AZ46" s="34">
        <f>AZ45*Assumptions!$C$71</f>
        <v>20.126790356992036</v>
      </c>
      <c r="BA46" s="34">
        <f>BA45*Assumptions!$C$71</f>
        <v>20.480369012237635</v>
      </c>
      <c r="BB46" s="34">
        <f>BB45*Assumptions!$C$71</f>
        <v>20.835158507489442</v>
      </c>
      <c r="BC46" s="34">
        <f>BC45*Assumptions!$C$71</f>
        <v>21.19119202999965</v>
      </c>
    </row>
    <row r="47">
      <c r="A47" s="4" t="inlineStr">
        <is>
          <t>Office, tools, compliance</t>
        </is>
      </c>
      <c r="B47" s="2" t="inlineStr">
        <is>
          <t>₹ lakh</t>
        </is>
      </c>
      <c r="C47" s="34">
        <f>INDEX(Assumptions!$C$72:$G$72,1,C$4)/C$6</f>
        <v>2.0</v>
      </c>
      <c r="D47" s="34">
        <f>INDEX(Assumptions!$C$72:$G$72,1,D$4)/D$6</f>
        <v>2.0</v>
      </c>
      <c r="E47" s="34">
        <f>INDEX(Assumptions!$C$72:$G$72,1,E$4)/E$6</f>
        <v>2.0</v>
      </c>
      <c r="F47" s="34">
        <f>INDEX(Assumptions!$C$72:$G$72,1,F$4)/F$6</f>
        <v>2.0</v>
      </c>
      <c r="G47" s="34">
        <f>INDEX(Assumptions!$C$72:$G$72,1,G$4)/G$6</f>
        <v>2.0</v>
      </c>
      <c r="H47" s="34">
        <f>INDEX(Assumptions!$C$72:$G$72,1,H$4)/H$6</f>
        <v>4.166666666666667</v>
      </c>
      <c r="I47" s="34">
        <f>INDEX(Assumptions!$C$72:$G$72,1,I$4)/I$6</f>
        <v>4.166666666666667</v>
      </c>
      <c r="J47" s="34">
        <f>INDEX(Assumptions!$C$72:$G$72,1,J$4)/J$6</f>
        <v>4.166666666666667</v>
      </c>
      <c r="K47" s="34">
        <f>INDEX(Assumptions!$C$72:$G$72,1,K$4)/K$6</f>
        <v>4.166666666666667</v>
      </c>
      <c r="L47" s="34">
        <f>INDEX(Assumptions!$C$72:$G$72,1,L$4)/L$6</f>
        <v>4.166666666666667</v>
      </c>
      <c r="M47" s="34">
        <f>INDEX(Assumptions!$C$72:$G$72,1,M$4)/M$6</f>
        <v>4.166666666666667</v>
      </c>
      <c r="N47" s="34">
        <f>INDEX(Assumptions!$C$72:$G$72,1,N$4)/N$6</f>
        <v>4.166666666666667</v>
      </c>
      <c r="O47" s="34">
        <f>INDEX(Assumptions!$C$72:$G$72,1,O$4)/O$6</f>
        <v>4.166666666666667</v>
      </c>
      <c r="P47" s="34">
        <f>INDEX(Assumptions!$C$72:$G$72,1,P$4)/P$6</f>
        <v>4.166666666666667</v>
      </c>
      <c r="Q47" s="34">
        <f>INDEX(Assumptions!$C$72:$G$72,1,Q$4)/Q$6</f>
        <v>4.166666666666667</v>
      </c>
      <c r="R47" s="34">
        <f>INDEX(Assumptions!$C$72:$G$72,1,R$4)/R$6</f>
        <v>4.166666666666667</v>
      </c>
      <c r="S47" s="34">
        <f>INDEX(Assumptions!$C$72:$G$72,1,S$4)/S$6</f>
        <v>4.166666666666667</v>
      </c>
      <c r="T47" s="34">
        <f>INDEX(Assumptions!$C$72:$G$72,1,T$4)/T$6</f>
        <v>8.333333333333334</v>
      </c>
      <c r="U47" s="34">
        <f>INDEX(Assumptions!$C$72:$G$72,1,U$4)/U$6</f>
        <v>8.333333333333334</v>
      </c>
      <c r="V47" s="34">
        <f>INDEX(Assumptions!$C$72:$G$72,1,V$4)/V$6</f>
        <v>8.333333333333334</v>
      </c>
      <c r="W47" s="34">
        <f>INDEX(Assumptions!$C$72:$G$72,1,W$4)/W$6</f>
        <v>8.333333333333334</v>
      </c>
      <c r="X47" s="34">
        <f>INDEX(Assumptions!$C$72:$G$72,1,X$4)/X$6</f>
        <v>8.333333333333334</v>
      </c>
      <c r="Y47" s="34">
        <f>INDEX(Assumptions!$C$72:$G$72,1,Y$4)/Y$6</f>
        <v>8.333333333333334</v>
      </c>
      <c r="Z47" s="34">
        <f>INDEX(Assumptions!$C$72:$G$72,1,Z$4)/Z$6</f>
        <v>8.333333333333334</v>
      </c>
      <c r="AA47" s="34">
        <f>INDEX(Assumptions!$C$72:$G$72,1,AA$4)/AA$6</f>
        <v>8.333333333333334</v>
      </c>
      <c r="AB47" s="34">
        <f>INDEX(Assumptions!$C$72:$G$72,1,AB$4)/AB$6</f>
        <v>8.333333333333334</v>
      </c>
      <c r="AC47" s="34">
        <f>INDEX(Assumptions!$C$72:$G$72,1,AC$4)/AC$6</f>
        <v>8.333333333333334</v>
      </c>
      <c r="AD47" s="34">
        <f>INDEX(Assumptions!$C$72:$G$72,1,AD$4)/AD$6</f>
        <v>8.333333333333334</v>
      </c>
      <c r="AE47" s="34">
        <f>INDEX(Assumptions!$C$72:$G$72,1,AE$4)/AE$6</f>
        <v>8.333333333333334</v>
      </c>
      <c r="AF47" s="34">
        <f>INDEX(Assumptions!$C$72:$G$72,1,AF$4)/AF$6</f>
        <v>12.5</v>
      </c>
      <c r="AG47" s="34">
        <f>INDEX(Assumptions!$C$72:$G$72,1,AG$4)/AG$6</f>
        <v>12.5</v>
      </c>
      <c r="AH47" s="34">
        <f>INDEX(Assumptions!$C$72:$G$72,1,AH$4)/AH$6</f>
        <v>12.5</v>
      </c>
      <c r="AI47" s="34">
        <f>INDEX(Assumptions!$C$72:$G$72,1,AI$4)/AI$6</f>
        <v>12.5</v>
      </c>
      <c r="AJ47" s="34">
        <f>INDEX(Assumptions!$C$72:$G$72,1,AJ$4)/AJ$6</f>
        <v>12.5</v>
      </c>
      <c r="AK47" s="34">
        <f>INDEX(Assumptions!$C$72:$G$72,1,AK$4)/AK$6</f>
        <v>12.5</v>
      </c>
      <c r="AL47" s="34">
        <f>INDEX(Assumptions!$C$72:$G$72,1,AL$4)/AL$6</f>
        <v>12.5</v>
      </c>
      <c r="AM47" s="34">
        <f>INDEX(Assumptions!$C$72:$G$72,1,AM$4)/AM$6</f>
        <v>12.5</v>
      </c>
      <c r="AN47" s="34">
        <f>INDEX(Assumptions!$C$72:$G$72,1,AN$4)/AN$6</f>
        <v>12.5</v>
      </c>
      <c r="AO47" s="34">
        <f>INDEX(Assumptions!$C$72:$G$72,1,AO$4)/AO$6</f>
        <v>12.5</v>
      </c>
      <c r="AP47" s="34">
        <f>INDEX(Assumptions!$C$72:$G$72,1,AP$4)/AP$6</f>
        <v>12.5</v>
      </c>
      <c r="AQ47" s="34">
        <f>INDEX(Assumptions!$C$72:$G$72,1,AQ$4)/AQ$6</f>
        <v>12.5</v>
      </c>
      <c r="AR47" s="34">
        <f>INDEX(Assumptions!$C$72:$G$72,1,AR$4)/AR$6</f>
        <v>16.666666666666668</v>
      </c>
      <c r="AS47" s="34">
        <f>INDEX(Assumptions!$C$72:$G$72,1,AS$4)/AS$6</f>
        <v>16.666666666666668</v>
      </c>
      <c r="AT47" s="34">
        <f>INDEX(Assumptions!$C$72:$G$72,1,AT$4)/AT$6</f>
        <v>16.666666666666668</v>
      </c>
      <c r="AU47" s="34">
        <f>INDEX(Assumptions!$C$72:$G$72,1,AU$4)/AU$6</f>
        <v>16.666666666666668</v>
      </c>
      <c r="AV47" s="34">
        <f>INDEX(Assumptions!$C$72:$G$72,1,AV$4)/AV$6</f>
        <v>16.666666666666668</v>
      </c>
      <c r="AW47" s="34">
        <f>INDEX(Assumptions!$C$72:$G$72,1,AW$4)/AW$6</f>
        <v>16.666666666666668</v>
      </c>
      <c r="AX47" s="34">
        <f>INDEX(Assumptions!$C$72:$G$72,1,AX$4)/AX$6</f>
        <v>16.666666666666668</v>
      </c>
      <c r="AY47" s="34">
        <f>INDEX(Assumptions!$C$72:$G$72,1,AY$4)/AY$6</f>
        <v>16.666666666666668</v>
      </c>
      <c r="AZ47" s="34">
        <f>INDEX(Assumptions!$C$72:$G$72,1,AZ$4)/AZ$6</f>
        <v>16.666666666666668</v>
      </c>
      <c r="BA47" s="34">
        <f>INDEX(Assumptions!$C$72:$G$72,1,BA$4)/BA$6</f>
        <v>16.666666666666668</v>
      </c>
      <c r="BB47" s="34">
        <f>INDEX(Assumptions!$C$72:$G$72,1,BB$4)/BB$6</f>
        <v>16.666666666666668</v>
      </c>
      <c r="BC47" s="34">
        <f>INDEX(Assumptions!$C$72:$G$72,1,BC$4)/BC$6</f>
        <v>16.666666666666668</v>
      </c>
    </row>
    <row r="48">
      <c r="A48" s="3" t="inlineStr">
        <is>
          <t>Operating expenses</t>
        </is>
      </c>
      <c r="B48" s="2" t="inlineStr">
        <is>
          <t>₹ lakh</t>
        </is>
      </c>
      <c r="C48" s="35">
        <f>C45+C46+C47</f>
        <v>14.405452499999999</v>
      </c>
      <c r="D48" s="35">
        <f>D45+D46+D47</f>
        <v>16.9299325</v>
      </c>
      <c r="E48" s="35">
        <f>E45+E46+E47</f>
        <v>19.4544125</v>
      </c>
      <c r="F48" s="35">
        <f>F45+F46+F47</f>
        <v>21.9788925</v>
      </c>
      <c r="G48" s="35">
        <f>G45+G46+G47</f>
        <v>24.503372499999998</v>
      </c>
      <c r="H48" s="35">
        <f>H45+H46+H47</f>
        <v>31.632023751789543</v>
      </c>
      <c r="I48" s="35">
        <f>I45+I46+I47</f>
        <v>33.5372018220136</v>
      </c>
      <c r="J48" s="35">
        <f>J45+J46+J47</f>
        <v>35.450151558555056</v>
      </c>
      <c r="K48" s="35">
        <f>K45+K46+K47</f>
        <v>37.371966726678714</v>
      </c>
      <c r="L48" s="35">
        <f>L45+L46+L47</f>
        <v>39.30389502549129</v>
      </c>
      <c r="M48" s="35">
        <f>M45+M46+M47</f>
        <v>41.247359752213036</v>
      </c>
      <c r="N48" s="35">
        <f>N45+N46+N47</f>
        <v>43.20398451542559</v>
      </c>
      <c r="O48" s="35">
        <f>O45+O46+O47</f>
        <v>45.17562142640204</v>
      </c>
      <c r="P48" s="35">
        <f>P45+P46+P47</f>
        <v>47.164383258015505</v>
      </c>
      <c r="Q48" s="35">
        <f>Q45+Q46+Q47</f>
        <v>49.172680129613646</v>
      </c>
      <c r="R48" s="35">
        <f>R45+R46+R47</f>
        <v>51.203261354832584</v>
      </c>
      <c r="S48" s="35">
        <f>S45+S46+S47</f>
        <v>53.25926317896947</v>
      </c>
      <c r="T48" s="35">
        <f>T45+T46+T47</f>
        <v>64.94888290879841</v>
      </c>
      <c r="U48" s="35">
        <f>U45+U46+U47</f>
        <v>67.2517859139459</v>
      </c>
      <c r="V48" s="35">
        <f>V45+V46+V47</f>
        <v>69.56459664251689</v>
      </c>
      <c r="W48" s="35">
        <f>W45+W46+W47</f>
        <v>71.88802129477496</v>
      </c>
      <c r="X48" s="35">
        <f>X45+X46+X47</f>
        <v>74.22281640735173</v>
      </c>
      <c r="Y48" s="35">
        <f>Y45+Y46+Y47</f>
        <v>76.56979244110995</v>
      </c>
      <c r="Z48" s="35">
        <f>Z45+Z46+Z47</f>
        <v>78.92981762474177</v>
      </c>
      <c r="AA48" s="35">
        <f>AA45+AA46+AA47</f>
        <v>81.30382207232948</v>
      </c>
      <c r="AB48" s="35">
        <f>AB45+AB46+AB47</f>
        <v>83.69280219439734</v>
      </c>
      <c r="AC48" s="35">
        <f>AC45+AC46+AC47</f>
        <v>86.09782542337291</v>
      </c>
      <c r="AD48" s="35">
        <f>AD45+AD46+AD47</f>
        <v>88.52003527586875</v>
      </c>
      <c r="AE48" s="35">
        <f>AE45+AE46+AE47</f>
        <v>90.96065677579206</v>
      </c>
      <c r="AF48" s="35">
        <f>AF45+AF46+AF47</f>
        <v>103.99820577730378</v>
      </c>
      <c r="AG48" s="35">
        <f>AG45+AG46+AG47</f>
        <v>106.4511310520965</v>
      </c>
      <c r="AH48" s="35">
        <f>AH45+AH46+AH47</f>
        <v>108.92002497456554</v>
      </c>
      <c r="AI48" s="35">
        <f>AI45+AI46+AI47</f>
        <v>111.405809078907</v>
      </c>
      <c r="AJ48" s="35">
        <f>AJ45+AJ46+AJ47</f>
        <v>113.90945808010558</v>
      </c>
      <c r="AK48" s="35">
        <f>AK45+AK46+AK47</f>
        <v>116.43200294294272</v>
      </c>
      <c r="AL48" s="35">
        <f>AL45+AL46+AL47</f>
        <v>118.97453412811495</v>
      </c>
      <c r="AM48" s="35">
        <f>AM45+AM46+AM47</f>
        <v>121.53820502568111</v>
      </c>
      <c r="AN48" s="35">
        <f>AN45+AN46+AN47</f>
        <v>124.12423558665164</v>
      </c>
      <c r="AO48" s="35">
        <f>AO45+AO46+AO47</f>
        <v>126.73391616415219</v>
      </c>
      <c r="AP48" s="35">
        <f>AP45+AP46+AP47</f>
        <v>129.36861157625708</v>
      </c>
      <c r="AQ48" s="35">
        <f>AQ45+AQ46+AQ47</f>
        <v>132.02976540328473</v>
      </c>
      <c r="AR48" s="35">
        <f>AR45+AR46+AR47</f>
        <v>149.5917199079379</v>
      </c>
      <c r="AS48" s="35">
        <f>AS45+AS46+AS47</f>
        <v>152.23660674363234</v>
      </c>
      <c r="AT48" s="35">
        <f>AT45+AT46+AT47</f>
        <v>154.88897093887672</v>
      </c>
      <c r="AU48" s="35">
        <f>AU45+AU46+AU47</f>
        <v>157.5490174365335</v>
      </c>
      <c r="AV48" s="35">
        <f>AV45+AV46+AV47</f>
        <v>160.21695679663245</v>
      </c>
      <c r="AW48" s="35">
        <f>AW45+AW46+AW47</f>
        <v>162.89300535032788</v>
      </c>
      <c r="AX48" s="35">
        <f>AX45+AX46+AX47</f>
        <v>165.57738535807664</v>
      </c>
      <c r="AY48" s="35">
        <f>AY45+AY46+AY47</f>
        <v>168.2703251721509</v>
      </c>
      <c r="AZ48" s="35">
        <f>AZ45+AZ46+AZ47</f>
        <v>170.9720594036056</v>
      </c>
      <c r="BA48" s="35">
        <f>BA45+BA46+BA47</f>
        <v>173.68282909382188</v>
      </c>
      <c r="BB48" s="35">
        <f>BB45+BB46+BB47</f>
        <v>176.40288189075238</v>
      </c>
      <c r="BC48" s="35">
        <f>BC45+BC46+BC47</f>
        <v>179.13247222999732</v>
      </c>
    </row>
    <row r="49">
      <c r="A49" s="3" t="inlineStr">
        <is>
          <t>EBITDA</t>
        </is>
      </c>
      <c r="B49" s="2" t="inlineStr">
        <is>
          <t>₹ lakh</t>
        </is>
      </c>
      <c r="C49" s="35">
        <f>C26-C48</f>
        <v>-14.838149699999999</v>
      </c>
      <c r="D49" s="35">
        <f>D26-D48</f>
        <v>-17.796241225</v>
      </c>
      <c r="E49" s="35">
        <f>E26-E48</f>
        <v>-19.79371874936</v>
      </c>
      <c r="F49" s="35">
        <f>F26-F48</f>
        <v>-22.03134977388</v>
      </c>
      <c r="G49" s="35">
        <f>G26-G48</f>
        <v>-24.268980798399994</v>
      </c>
      <c r="H49" s="35">
        <f>H26-H48</f>
        <v>-26.682174178821306</v>
      </c>
      <c r="I49" s="35">
        <f>I26-I48</f>
        <v>-27.641089555809703</v>
      </c>
      <c r="J49" s="35">
        <f>J26-J48</f>
        <v>-28.807858549503777</v>
      </c>
      <c r="K49" s="35">
        <f>K26-K48</f>
        <v>-29.93477116703793</v>
      </c>
      <c r="L49" s="35">
        <f>L26-L48</f>
        <v>-31.016218119741616</v>
      </c>
      <c r="M49" s="35">
        <f>M26-M48</f>
        <v>-32.045800681408494</v>
      </c>
      <c r="N49" s="35">
        <f>N26-N48</f>
        <v>-33.01621958479276</v>
      </c>
      <c r="O49" s="35">
        <f>O26-O48</f>
        <v>-33.91914828167087</v>
      </c>
      <c r="P49" s="35">
        <f>P26-P48</f>
        <v>-34.74508836583566</v>
      </c>
      <c r="Q49" s="35">
        <f>Q26-Q48</f>
        <v>-35.483204648676065</v>
      </c>
      <c r="R49" s="35">
        <f>R26-R48</f>
        <v>-36.12113702369906</v>
      </c>
      <c r="S49" s="35">
        <f>S26-S48</f>
        <v>-36.644785853325374</v>
      </c>
      <c r="T49" s="35">
        <f>T26-T48</f>
        <v>-31.872450343393666</v>
      </c>
      <c r="U49" s="35">
        <f>U26-U48</f>
        <v>-31.080768878490105</v>
      </c>
      <c r="V49" s="35">
        <f>V26-V48</f>
        <v>-31.24337520065201</v>
      </c>
      <c r="W49" s="35">
        <f>W26-W48</f>
        <v>-31.325538444384144</v>
      </c>
      <c r="X49" s="35">
        <f>X26-X48</f>
        <v>-31.3215248078063</v>
      </c>
      <c r="Y49" s="35">
        <f>Y26-Y48</f>
        <v>-31.2251917965244</v>
      </c>
      <c r="Z49" s="35">
        <f>Z26-Z48</f>
        <v>-31.029959092945376</v>
      </c>
      <c r="AA49" s="35">
        <f>AA26-AA48</f>
        <v>-30.728777349223584</v>
      </c>
      <c r="AB49" s="35">
        <f>AB26-AB48</f>
        <v>-30.314094755838163</v>
      </c>
      <c r="AC49" s="35">
        <f>AC26-AC48</f>
        <v>-29.77782122725455</v>
      </c>
      <c r="AD49" s="35">
        <f>AD26-AD48</f>
        <v>-29.11129003481956</v>
      </c>
      <c r="AE49" s="35">
        <f>AE26-AE48</f>
        <v>-28.30521670493394</v>
      </c>
      <c r="AF49" s="35">
        <f>AF26-AF48</f>
        <v>-19.52795916377832</v>
      </c>
      <c r="AG49" s="35">
        <f>AG26-AG48</f>
        <v>-17.606689783564903</v>
      </c>
      <c r="AH49" s="35">
        <f>AH26-AH48</f>
        <v>-16.023885328370923</v>
      </c>
      <c r="AI49" s="35">
        <f>AI26-AI48</f>
        <v>-14.282908711253285</v>
      </c>
      <c r="AJ49" s="35">
        <f>AJ26-AJ48</f>
        <v>-12.374631979800697</v>
      </c>
      <c r="AK49" s="35">
        <f>AK26-AK48</f>
        <v>-10.289400416875509</v>
      </c>
      <c r="AL49" s="35">
        <f>AL26-AL48</f>
        <v>-8.017002141567389</v>
      </c>
      <c r="AM49" s="35">
        <f>AM26-AM48</f>
        <v>-5.546635955846327</v>
      </c>
      <c r="AN49" s="35">
        <f>AN26-AN48</f>
        <v>-2.8668773356767616</v>
      </c>
      <c r="AO49" s="35">
        <f>AO26-AO48</f>
        <v>0.034357540479803106</v>
      </c>
      <c r="AP49" s="35">
        <f>AP26-AP48</f>
        <v>3.169849839047714</v>
      </c>
      <c r="AQ49" s="35">
        <f>AQ26-AQ48</f>
        <v>6.553118314390872</v>
      </c>
      <c r="AR49" s="35">
        <f>AR26-AR48</f>
        <v>12.910810726455964</v>
      </c>
      <c r="AS49" s="35">
        <f>AS26-AS48</f>
        <v>16.752432658561673</v>
      </c>
      <c r="AT49" s="35">
        <f>AT26-AT48</f>
        <v>18.474613335435066</v>
      </c>
      <c r="AU49" s="35">
        <f>AU26-AU48</f>
        <v>20.273131813991995</v>
      </c>
      <c r="AV49" s="35">
        <f>AV26-AV48</f>
        <v>22.15008039533143</v>
      </c>
      <c r="AW49" s="35">
        <f>AW26-AW48</f>
        <v>24.107608727289005</v>
      </c>
      <c r="AX49" s="35">
        <f>AX26-AX48</f>
        <v>26.14792537622543</v>
      </c>
      <c r="AY49" s="35">
        <f>AY26-AY48</f>
        <v>28.273299441889463</v>
      </c>
      <c r="AZ49" s="35">
        <f>AZ26-AZ48</f>
        <v>30.4860622165441</v>
      </c>
      <c r="BA49" s="35">
        <f>BA26-BA48</f>
        <v>32.78860888956885</v>
      </c>
      <c r="BB49" s="35">
        <f>BB26-BB48</f>
        <v>35.183400298781464</v>
      </c>
      <c r="BC49" s="35">
        <f>BC26-BC48</f>
        <v>37.672964729756956</v>
      </c>
    </row>
    <row r="50">
      <c r="A50" s="13" t="inlineStr">
        <is>
          <t>Capex, tax and working capital</t>
        </is>
      </c>
      <c r="B50" s="14" t="n"/>
    </row>
    <row r="51">
      <c r="A51" s="4" t="inlineStr">
        <is>
          <t>Capex (devices for new heads + 3-year refresh)</t>
        </is>
      </c>
      <c r="B51" s="2" t="inlineStr">
        <is>
          <t>₹ lakh</t>
        </is>
      </c>
      <c r="C51" s="34">
        <f>Assumptions!$C$74*MAX(0,C36-Assumptions!$C$65)</f>
        <v>4.5552</v>
      </c>
      <c r="D51" s="34">
        <f>Assumptions!$C$74*MAX(0,D36-C36)</f>
        <v>1.6163999999999994</v>
      </c>
      <c r="E51" s="34">
        <f>Assumptions!$C$74*MAX(0,E36-D36)</f>
        <v>1.6164000000000012</v>
      </c>
      <c r="F51" s="34">
        <f>Assumptions!$C$74*MAX(0,F36-E36)</f>
        <v>1.6163999999999994</v>
      </c>
      <c r="G51" s="34">
        <f>Assumptions!$C$74*MAX(0,G36-F36)</f>
        <v>1.6164000000000012</v>
      </c>
      <c r="H51" s="34">
        <f>Assumptions!$C$74*MAX(0,H36-G36)</f>
        <v>1.512405885571706</v>
      </c>
      <c r="I51" s="34">
        <f>Assumptions!$C$74*MAX(0,I36-H36)</f>
        <v>1.111040365305982</v>
      </c>
      <c r="J51" s="34">
        <f>Assumptions!$C$74*MAX(0,J36-I36)</f>
        <v>1.1322974160345312</v>
      </c>
      <c r="K51" s="34">
        <f>Assumptions!$C$74*MAX(0,K36-J36)</f>
        <v>1.1565461319696557</v>
      </c>
      <c r="L51" s="34">
        <f>Assumptions!$C$74*MAX(0,L36-K36)</f>
        <v>1.1842075527382823</v>
      </c>
      <c r="M51" s="34">
        <f>Assumptions!$C$74*MAX(0,M36-L36)</f>
        <v>1.2157619740522592</v>
      </c>
      <c r="N51" s="34">
        <f>Assumptions!$C$74*MAX(0,N36-M36)</f>
        <v>1.2517572872643725</v>
      </c>
      <c r="O51" s="34">
        <f>Assumptions!$C$74*MAX(0,O36-N36)</f>
        <v>1.2928184926132449</v>
      </c>
      <c r="P51" s="34">
        <f>Assumptions!$C$74*MAX(0,P36-O36)</f>
        <v>1.3396585513389059</v>
      </c>
      <c r="Q51" s="34">
        <f>Assumptions!$C$74*MAX(0,Q36-P36)</f>
        <v>1.3930907650983593</v>
      </c>
      <c r="R51" s="34">
        <f>Assumptions!$C$74*MAX(0,R36-Q36)</f>
        <v>1.4540428976300086</v>
      </c>
      <c r="S51" s="34">
        <f>Assumptions!$C$74*MAX(0,S36-R36)</f>
        <v>1.5235732838662905</v>
      </c>
      <c r="T51" s="34">
        <f>Assumptions!$C$74*MAX(0,T36-S36)</f>
        <v>2.4555968190059185</v>
      </c>
      <c r="U51" s="34">
        <f>Assumptions!$C$74*MAX(0,U36-T36)</f>
        <v>1.4888046286690462</v>
      </c>
      <c r="V51" s="34">
        <f>Assumptions!$C$74*MAX(0,V36-U36)</f>
        <v>1.513666638858544</v>
      </c>
      <c r="W51" s="34">
        <f>Assumptions!$C$74*MAX(0,W36-V36)</f>
        <v>1.5403007572708745</v>
      </c>
      <c r="X51" s="34">
        <f>Assumptions!$C$74*MAX(0,X36-W36)</f>
        <v>1.5688332957984585</v>
      </c>
      <c r="Y51" s="34">
        <f>Assumptions!$C$74*MAX(0,Y36-X36)</f>
        <v>1.59939956956148</v>
      </c>
      <c r="Z51" s="34">
        <f>Assumptions!$C$74*MAX(0,Z36-Y36)</f>
        <v>1.632144538637896</v>
      </c>
      <c r="AA51" s="34">
        <f>Assumptions!$C$74*MAX(0,AA36-Z36)</f>
        <v>1.66722349553419</v>
      </c>
      <c r="AB51" s="34">
        <f>Assumptions!$C$74*MAX(0,AB36-AA36)</f>
        <v>1.7048028016576673</v>
      </c>
      <c r="AC51" s="34">
        <f>Assumptions!$C$74*MAX(0,AC36-AB36)</f>
        <v>1.7450606762834802</v>
      </c>
      <c r="AD51" s="34">
        <f>Assumptions!$C$74*MAX(0,AD36-AC36)</f>
        <v>1.7881880417556815</v>
      </c>
      <c r="AE51" s="34">
        <f>Assumptions!$C$74*MAX(0,AE36-AD36)</f>
        <v>1.8343894289341869</v>
      </c>
      <c r="AF51" s="34">
        <f>Assumptions!$C$74*MAX(0,AF36-AE36)</f>
        <v>0.9622745374785077</v>
      </c>
      <c r="AG51" s="34">
        <f>Assumptions!$C$74*MAX(0,AG36-AF36)</f>
        <v>1.6570311801814577</v>
      </c>
      <c r="AH51" s="34">
        <f>Assumptions!$C$74*MAX(0,AH36-AG36)</f>
        <v>1.6937935929055528</v>
      </c>
      <c r="AI51" s="34">
        <f>Assumptions!$C$74*MAX(0,AI36-AH36)</f>
        <v>1.732677526571591</v>
      </c>
      <c r="AJ51" s="34">
        <f>Assumptions!$C$74*MAX(0,AJ36-AI36)</f>
        <v>1.7738054119659517</v>
      </c>
      <c r="AK51" s="34">
        <f>Assumptions!$C$74*MAX(0,AK36-AJ36)</f>
        <v>1.8173067452295684</v>
      </c>
      <c r="AL51" s="34">
        <f>Assumptions!$C$74*MAX(0,AL36-AK36)</f>
        <v>1.8633184955927349</v>
      </c>
      <c r="AM51" s="34">
        <f>Assumptions!$C$74*MAX(0,AM36-AL36)+C51</f>
        <v>6.467185536637746</v>
      </c>
      <c r="AN51" s="34">
        <f>Assumptions!$C$74*MAX(0,AN36-AM36)+D51</f>
        <v>3.579861102453112</v>
      </c>
      <c r="AO51" s="34">
        <f>Assumptions!$C$74*MAX(0,AO36-AN36)+E51</f>
        <v>3.634307270108309</v>
      </c>
      <c r="AP51" s="34">
        <f>Assumptions!$C$74*MAX(0,AP36-AO36)+F51</f>
        <v>3.691895469972878</v>
      </c>
      <c r="AQ51" s="34">
        <f>Assumptions!$C$74*MAX(0,AQ36-AP36)+G51</f>
        <v>3.752807025486777</v>
      </c>
      <c r="AR51" s="34">
        <f>Assumptions!$C$74*MAX(0,AR36-AQ36)+H51</f>
        <v>3.0932342432632702</v>
      </c>
      <c r="AS51" s="34">
        <f>Assumptions!$C$74*MAX(0,AS36-AR36)+I51</f>
        <v>2.7072401610438304</v>
      </c>
      <c r="AT51" s="34">
        <f>Assumptions!$C$74*MAX(0,AT36-AS36)+J51</f>
        <v>2.7442899571657664</v>
      </c>
      <c r="AU51" s="34">
        <f>Assumptions!$C$74*MAX(0,AU36-AT36)+K51</f>
        <v>2.7847642732240265</v>
      </c>
      <c r="AV51" s="34">
        <f>Assumptions!$C$74*MAX(0,AV36-AU36)+L51</f>
        <v>2.8290960127250675</v>
      </c>
      <c r="AW51" s="34">
        <f>Assumptions!$C$74*MAX(0,AW36-AV36)+M51</f>
        <v>2.8777776604296763</v>
      </c>
      <c r="AX51" s="34">
        <f>Assumptions!$C$74*MAX(0,AX36-AW36)+N51</f>
        <v>2.9313696308229296</v>
      </c>
      <c r="AY51" s="34">
        <f>Assumptions!$C$74*MAX(0,AY36-AX36)+O51</f>
        <v>2.9905097905156612</v>
      </c>
      <c r="AZ51" s="34">
        <f>Assumptions!$C$74*MAX(0,AZ36-AY36)+P51</f>
        <v>3.055924319767367</v>
      </c>
      <c r="BA51" s="34">
        <f>Assumptions!$C$74*MAX(0,BA36-AZ36)+Q51</f>
        <v>3.12844010156709</v>
      </c>
      <c r="BB51" s="34">
        <f>Assumptions!$C$74*MAX(0,BB36-BA36)+R51</f>
        <v>3.208998853229513</v>
      </c>
      <c r="BC51" s="34">
        <f>Assumptions!$C$74*MAX(0,BC36-BB36)+S51</f>
        <v>3.2986732457081214</v>
      </c>
    </row>
    <row r="52">
      <c r="A52" s="4" t="inlineStr">
        <is>
          <t>Depreciation (36 months)</t>
        </is>
      </c>
      <c r="B52" s="2" t="inlineStr">
        <is>
          <t>₹ lakh</t>
        </is>
      </c>
      <c r="C52" s="34">
        <f>SUM(C51:C51)/36</f>
        <v>0.12653333333333333</v>
      </c>
      <c r="D52" s="34">
        <f>SUM(C51:D51)/36</f>
        <v>0.17143333333333333</v>
      </c>
      <c r="E52" s="34">
        <f>SUM(C51:E51)/36</f>
        <v>0.21633333333333338</v>
      </c>
      <c r="F52" s="34">
        <f>SUM(C51:F51)/36</f>
        <v>0.2612333333333334</v>
      </c>
      <c r="G52" s="34">
        <f>SUM(C51:G51)/36</f>
        <v>0.30613333333333337</v>
      </c>
      <c r="H52" s="34">
        <f>SUM(C51:H51)/36</f>
        <v>0.3481446079325474</v>
      </c>
      <c r="I52" s="34">
        <f>SUM(C51:I51)/36</f>
        <v>0.37900684030215803</v>
      </c>
      <c r="J52" s="34">
        <f>SUM(C51:J51)/36</f>
        <v>0.41045954630311726</v>
      </c>
      <c r="K52" s="34">
        <f>SUM(C51:K51)/36</f>
        <v>0.4425858277467188</v>
      </c>
      <c r="L52" s="34">
        <f>SUM(C51:L51)/36</f>
        <v>0.47548048198944887</v>
      </c>
      <c r="M52" s="34">
        <f>SUM(C51:M51)/36</f>
        <v>0.5092516479353449</v>
      </c>
      <c r="N52" s="34">
        <f>SUM(C51:N51)/36</f>
        <v>0.5440226836926887</v>
      </c>
      <c r="O52" s="34">
        <f>SUM(C51:O51)/36</f>
        <v>0.5799343084875009</v>
      </c>
      <c r="P52" s="34">
        <f>SUM(C51:P51)/36</f>
        <v>0.6171470460246928</v>
      </c>
      <c r="Q52" s="34">
        <f>SUM(C51:Q51)/36</f>
        <v>0.6558440117218695</v>
      </c>
      <c r="R52" s="34">
        <f>SUM(C51:R51)/36</f>
        <v>0.6962340922115919</v>
      </c>
      <c r="S52" s="34">
        <f>SUM(C51:S51)/36</f>
        <v>0.7385555723189889</v>
      </c>
      <c r="T52" s="34">
        <f>SUM(C51:T51)/36</f>
        <v>0.8067665950691533</v>
      </c>
      <c r="U52" s="34">
        <f>SUM(C51:U51)/36</f>
        <v>0.8481222791988491</v>
      </c>
      <c r="V52" s="34">
        <f>SUM(C51:V51)/36</f>
        <v>0.8901685747226975</v>
      </c>
      <c r="W52" s="34">
        <f>SUM(C51:W51)/36</f>
        <v>0.9329547068691108</v>
      </c>
      <c r="X52" s="34">
        <f>SUM(C51:X51)/36</f>
        <v>0.976533409530179</v>
      </c>
      <c r="Y52" s="34">
        <f>SUM(C51:Y51)/36</f>
        <v>1.020961175351331</v>
      </c>
      <c r="Z52" s="34">
        <f>SUM(C51:Z51)/36</f>
        <v>1.0662985236468283</v>
      </c>
      <c r="AA52" s="34">
        <f>SUM(C51:AA51)/36</f>
        <v>1.112610287411667</v>
      </c>
      <c r="AB52" s="34">
        <f>SUM(C51:AB51)/36</f>
        <v>1.1599659207910464</v>
      </c>
      <c r="AC52" s="34">
        <f>SUM(C51:AC51)/36</f>
        <v>1.2084398284655875</v>
      </c>
      <c r="AD52" s="34">
        <f>SUM(C51:AD51)/36</f>
        <v>1.2581117185143564</v>
      </c>
      <c r="AE52" s="34">
        <f>SUM(C51:AE51)/36</f>
        <v>1.309066980429195</v>
      </c>
      <c r="AF52" s="34">
        <f>SUM(C51:AF51)/36</f>
        <v>1.3357968286924868</v>
      </c>
      <c r="AG52" s="34">
        <f>SUM(C51:AG51)/36</f>
        <v>1.3818254725864163</v>
      </c>
      <c r="AH52" s="34">
        <f>SUM(C51:AH51)/36</f>
        <v>1.4288752946115706</v>
      </c>
      <c r="AI52" s="34">
        <f>SUM(C51:AI51)/36</f>
        <v>1.477005225905226</v>
      </c>
      <c r="AJ52" s="34">
        <f>SUM(C51:AJ51)/36</f>
        <v>1.5262775984598358</v>
      </c>
      <c r="AK52" s="34">
        <f>SUM(C51:AK51)/36</f>
        <v>1.5767583413828792</v>
      </c>
      <c r="AL52" s="34">
        <f>SUM(C51:AL51)/36</f>
        <v>1.6285171884826775</v>
      </c>
      <c r="AM52" s="34">
        <f>SUM(D51:AM51)/36</f>
        <v>1.681627897833726</v>
      </c>
      <c r="AN52" s="34">
        <f>SUM(E51:AN51)/36</f>
        <v>1.7361684840129792</v>
      </c>
      <c r="AO52" s="34">
        <f>SUM(F51:AO51)/36</f>
        <v>1.7922214637382095</v>
      </c>
      <c r="AP52" s="34">
        <f>SUM(G51:AP51)/36</f>
        <v>1.8498741156819005</v>
      </c>
      <c r="AQ52" s="34">
        <f>SUM(H51:AQ51)/36</f>
        <v>1.9092187552787554</v>
      </c>
      <c r="AR52" s="34">
        <f>SUM(I51:AR51)/36</f>
        <v>1.9531306541035214</v>
      </c>
      <c r="AS52" s="34">
        <f>SUM(J51:AS51)/36</f>
        <v>1.9974695373184614</v>
      </c>
      <c r="AT52" s="34">
        <f>SUM(K51:AT51)/36</f>
        <v>2.0422471079054403</v>
      </c>
      <c r="AU52" s="34">
        <f>SUM(L51:AU51)/36</f>
        <v>2.0874753896069507</v>
      </c>
      <c r="AV52" s="34">
        <f>SUM(M51:AV51)/36</f>
        <v>2.133166735717695</v>
      </c>
      <c r="AW52" s="34">
        <f>SUM(N51:AW51)/36</f>
        <v>2.1793338381170675</v>
      </c>
      <c r="AX52" s="34">
        <f>SUM(O51:AX51)/36</f>
        <v>2.22598973654925</v>
      </c>
      <c r="AY52" s="34">
        <f>SUM(P51:AY51)/36</f>
        <v>2.2731478281576503</v>
      </c>
      <c r="AZ52" s="34">
        <f>SUM(Q51:AZ51)/36</f>
        <v>2.320821877280663</v>
      </c>
      <c r="BA52" s="34">
        <f>SUM(R51:BA51)/36</f>
        <v>2.3690260255159057</v>
      </c>
      <c r="BB52" s="34">
        <f>SUM(S51:BB51)/36</f>
        <v>2.4177748020603365</v>
      </c>
      <c r="BC52" s="34">
        <f>SUM(T51:BC51)/36</f>
        <v>2.4670831343337207</v>
      </c>
    </row>
    <row r="53">
      <c r="A53" s="4" t="inlineStr">
        <is>
          <t>EBIT (= profit before tax; no debt)</t>
        </is>
      </c>
      <c r="B53" s="2" t="inlineStr">
        <is>
          <t>₹ lakh</t>
        </is>
      </c>
      <c r="C53" s="34">
        <f>C49-C52</f>
        <v>-14.964683033333332</v>
      </c>
      <c r="D53" s="34">
        <f>D49-D52</f>
        <v>-17.967674558333332</v>
      </c>
      <c r="E53" s="34">
        <f>E49-E52</f>
        <v>-20.010052082693335</v>
      </c>
      <c r="F53" s="34">
        <f>F49-F52</f>
        <v>-22.292583107213332</v>
      </c>
      <c r="G53" s="34">
        <f>G49-G52</f>
        <v>-24.57511413173333</v>
      </c>
      <c r="H53" s="34">
        <f>H49-H52</f>
        <v>-27.030318786753853</v>
      </c>
      <c r="I53" s="34">
        <f>I49-I52</f>
        <v>-28.02009639611186</v>
      </c>
      <c r="J53" s="34">
        <f>J49-J52</f>
        <v>-29.218318095806893</v>
      </c>
      <c r="K53" s="34">
        <f>K49-K52</f>
        <v>-30.37735699478465</v>
      </c>
      <c r="L53" s="34">
        <f>L49-L52</f>
        <v>-31.491698601731066</v>
      </c>
      <c r="M53" s="34">
        <f>M49-M52</f>
        <v>-32.55505232934384</v>
      </c>
      <c r="N53" s="34">
        <f>N49-N52</f>
        <v>-33.560242268485446</v>
      </c>
      <c r="O53" s="34">
        <f>O49-O52</f>
        <v>-34.49908259015837</v>
      </c>
      <c r="P53" s="34">
        <f>P49-P52</f>
        <v>-35.362235411860354</v>
      </c>
      <c r="Q53" s="34">
        <f>Q49-Q52</f>
        <v>-36.13904866039793</v>
      </c>
      <c r="R53" s="34">
        <f>R49-R52</f>
        <v>-36.81737111591065</v>
      </c>
      <c r="S53" s="34">
        <f>S49-S52</f>
        <v>-37.38334142564436</v>
      </c>
      <c r="T53" s="34">
        <f>T49-T52</f>
        <v>-32.67921693846282</v>
      </c>
      <c r="U53" s="34">
        <f>U49-U52</f>
        <v>-31.928891157688955</v>
      </c>
      <c r="V53" s="34">
        <f>V49-V52</f>
        <v>-32.13354377537471</v>
      </c>
      <c r="W53" s="34">
        <f>W49-W52</f>
        <v>-32.258493151253255</v>
      </c>
      <c r="X53" s="34">
        <f>X49-X52</f>
        <v>-32.298058217336475</v>
      </c>
      <c r="Y53" s="34">
        <f>Y49-Y52</f>
        <v>-32.24615297187573</v>
      </c>
      <c r="Z53" s="34">
        <f>Z49-Z52</f>
        <v>-32.096257616592204</v>
      </c>
      <c r="AA53" s="34">
        <f>AA49-AA52</f>
        <v>-31.84138763663525</v>
      </c>
      <c r="AB53" s="34">
        <f>AB49-AB52</f>
        <v>-31.474060676629207</v>
      </c>
      <c r="AC53" s="34">
        <f>AC49-AC52</f>
        <v>-30.986261055720135</v>
      </c>
      <c r="AD53" s="34">
        <f>AD49-AD52</f>
        <v>-30.369401753333918</v>
      </c>
      <c r="AE53" s="34">
        <f>AE49-AE52</f>
        <v>-29.614283685363134</v>
      </c>
      <c r="AF53" s="34">
        <f>AF49-AF52</f>
        <v>-20.863755992470807</v>
      </c>
      <c r="AG53" s="34">
        <f>AG49-AG52</f>
        <v>-18.98851525615132</v>
      </c>
      <c r="AH53" s="34">
        <f>AH49-AH52</f>
        <v>-17.452760622982495</v>
      </c>
      <c r="AI53" s="34">
        <f>AI49-AI52</f>
        <v>-15.75991393715851</v>
      </c>
      <c r="AJ53" s="34">
        <f>AJ49-AJ52</f>
        <v>-13.900909578260531</v>
      </c>
      <c r="AK53" s="34">
        <f>AK49-AK52</f>
        <v>-11.866158758258388</v>
      </c>
      <c r="AL53" s="34">
        <f>AL49-AL52</f>
        <v>-9.645519330050066</v>
      </c>
      <c r="AM53" s="34">
        <f>AM49-AM52</f>
        <v>-7.228263853680053</v>
      </c>
      <c r="AN53" s="34">
        <f>AN49-AN52</f>
        <v>-4.603045819689741</v>
      </c>
      <c r="AO53" s="34">
        <f>AO49-AO52</f>
        <v>-1.7578639232584063</v>
      </c>
      <c r="AP53" s="34">
        <f>AP49-AP52</f>
        <v>1.3199757233658136</v>
      </c>
      <c r="AQ53" s="34">
        <f>AQ49-AQ52</f>
        <v>4.643899559112117</v>
      </c>
      <c r="AR53" s="34">
        <f>AR49-AR52</f>
        <v>10.957680072352442</v>
      </c>
      <c r="AS53" s="34">
        <f>AS49-AS52</f>
        <v>14.754963121243211</v>
      </c>
      <c r="AT53" s="34">
        <f>AT49-AT52</f>
        <v>16.432366227529627</v>
      </c>
      <c r="AU53" s="34">
        <f>AU49-AU52</f>
        <v>18.185656424385044</v>
      </c>
      <c r="AV53" s="34">
        <f>AV49-AV52</f>
        <v>20.016913659613735</v>
      </c>
      <c r="AW53" s="34">
        <f>AW49-AW52</f>
        <v>21.928274889171938</v>
      </c>
      <c r="AX53" s="34">
        <f>AX49-AX52</f>
        <v>23.92193563967618</v>
      </c>
      <c r="AY53" s="34">
        <f>AY49-AY52</f>
        <v>26.000151613731813</v>
      </c>
      <c r="AZ53" s="34">
        <f>AZ49-AZ52</f>
        <v>28.165240339263434</v>
      </c>
      <c r="BA53" s="34">
        <f>BA49-BA52</f>
        <v>30.41958286405294</v>
      </c>
      <c r="BB53" s="34">
        <f>BB49-BB52</f>
        <v>32.76562549672113</v>
      </c>
      <c r="BC53" s="34">
        <f>BC49-BC52</f>
        <v>35.205881595423236</v>
      </c>
    </row>
    <row r="54">
      <c r="A54" s="4" t="inlineStr">
        <is>
          <t>Tax paid (each March)</t>
        </is>
      </c>
      <c r="B54" s="2" t="inlineStr">
        <is>
          <t>₹ lakh</t>
        </is>
      </c>
      <c r="C54" s="34" t="n">
        <v>0</v>
      </c>
      <c r="D54" s="34" t="n">
        <v>0</v>
      </c>
      <c r="E54" s="34" t="n">
        <v>0</v>
      </c>
      <c r="F54" s="34" t="n">
        <v>0</v>
      </c>
      <c r="G54" s="34">
        <f>C101</f>
        <v>0.0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4" t="n">
        <v>0</v>
      </c>
      <c r="O54" s="34" t="n">
        <v>0</v>
      </c>
      <c r="P54" s="34" t="n">
        <v>0</v>
      </c>
      <c r="Q54" s="34" t="n">
        <v>0</v>
      </c>
      <c r="R54" s="34" t="n">
        <v>0</v>
      </c>
      <c r="S54" s="34">
        <f>D101</f>
        <v>0.0</v>
      </c>
      <c r="T54" s="34" t="n">
        <v>0</v>
      </c>
      <c r="U54" s="34" t="n">
        <v>0</v>
      </c>
      <c r="V54" s="34" t="n">
        <v>0</v>
      </c>
      <c r="W54" s="34" t="n">
        <v>0</v>
      </c>
      <c r="X54" s="34" t="n">
        <v>0</v>
      </c>
      <c r="Y54" s="34" t="n">
        <v>0</v>
      </c>
      <c r="Z54" s="34" t="n">
        <v>0</v>
      </c>
      <c r="AA54" s="34" t="n">
        <v>0</v>
      </c>
      <c r="AB54" s="34" t="n">
        <v>0</v>
      </c>
      <c r="AC54" s="34" t="n">
        <v>0</v>
      </c>
      <c r="AD54" s="34" t="n">
        <v>0</v>
      </c>
      <c r="AE54" s="34">
        <f>E101</f>
        <v>0.0</v>
      </c>
      <c r="AF54" s="34" t="n">
        <v>0</v>
      </c>
      <c r="AG54" s="34" t="n">
        <v>0</v>
      </c>
      <c r="AH54" s="34" t="n">
        <v>0</v>
      </c>
      <c r="AI54" s="34" t="n">
        <v>0</v>
      </c>
      <c r="AJ54" s="34" t="n">
        <v>0</v>
      </c>
      <c r="AK54" s="34" t="n">
        <v>0</v>
      </c>
      <c r="AL54" s="34" t="n">
        <v>0</v>
      </c>
      <c r="AM54" s="34" t="n">
        <v>0</v>
      </c>
      <c r="AN54" s="34" t="n">
        <v>0</v>
      </c>
      <c r="AO54" s="34" t="n">
        <v>0</v>
      </c>
      <c r="AP54" s="34" t="n">
        <v>0</v>
      </c>
      <c r="AQ54" s="34">
        <f>F101</f>
        <v>0.0</v>
      </c>
      <c r="AR54" s="34" t="n">
        <v>0</v>
      </c>
      <c r="AS54" s="34" t="n">
        <v>0</v>
      </c>
      <c r="AT54" s="34" t="n">
        <v>0</v>
      </c>
      <c r="AU54" s="34" t="n">
        <v>0</v>
      </c>
      <c r="AV54" s="34" t="n">
        <v>0</v>
      </c>
      <c r="AW54" s="34" t="n">
        <v>0</v>
      </c>
      <c r="AX54" s="34" t="n">
        <v>0</v>
      </c>
      <c r="AY54" s="34" t="n">
        <v>0</v>
      </c>
      <c r="AZ54" s="34" t="n">
        <v>0</v>
      </c>
      <c r="BA54" s="34" t="n">
        <v>0</v>
      </c>
      <c r="BB54" s="34" t="n">
        <v>0</v>
      </c>
      <c r="BC54" s="34">
        <f>G101</f>
        <v>0.0</v>
      </c>
    </row>
    <row r="55">
      <c r="A55" s="4" t="inlineStr">
        <is>
          <t>Receivables</t>
        </is>
      </c>
      <c r="B55" s="2" t="inlineStr">
        <is>
          <t>₹ lakh</t>
        </is>
      </c>
      <c r="C55" s="34">
        <f>(C15*Assumptions!$C$78+C16*Assumptions!$C$79+C17*Assumptions!$C$80+C19*Assumptions!$C$81+C20*Assumptions!$C$82)/30</f>
        <v>0.0</v>
      </c>
      <c r="D55" s="34">
        <f>(D15*Assumptions!$C$78+D16*Assumptions!$C$79+D17*Assumptions!$C$80+D19*Assumptions!$C$81+D20*Assumptions!$C$82)/30</f>
        <v>0.0</v>
      </c>
      <c r="E55" s="34">
        <f>(E15*Assumptions!$C$78+E16*Assumptions!$C$79+E17*Assumptions!$C$80+E19*Assumptions!$C$81+E20*Assumptions!$C$82)/30</f>
        <v>1.064960512</v>
      </c>
      <c r="F55" s="34">
        <f>(F15*Assumptions!$C$78+F16*Assumptions!$C$79+F17*Assumptions!$C$80+F19*Assumptions!$C$81+F20*Assumptions!$C$82)/30</f>
        <v>1.8636808960000004</v>
      </c>
      <c r="G55" s="34">
        <f>(G15*Assumptions!$C$78+G16*Assumptions!$C$79+G17*Assumptions!$C$80+G19*Assumptions!$C$81+G20*Assumptions!$C$82)/30</f>
        <v>2.6624012800000005</v>
      </c>
      <c r="H55" s="34">
        <f>(H15*Assumptions!$C$78+H16*Assumptions!$C$79+H17*Assumptions!$C$80+H19*Assumptions!$C$81+H20*Assumptions!$C$82)/30</f>
        <v>3.4139938560000003</v>
      </c>
      <c r="I55" s="34">
        <f>(I15*Assumptions!$C$78+I16*Assumptions!$C$79+I17*Assumptions!$C$80+I19*Assumptions!$C$81+I20*Assumptions!$C$82)/30</f>
        <v>4.2018385920000005</v>
      </c>
      <c r="J55" s="34">
        <f>(J15*Assumptions!$C$78+J16*Assumptions!$C$79+J17*Assumptions!$C$80+J19*Assumptions!$C$81+J20*Assumptions!$C$82)/30</f>
        <v>4.793195054375774</v>
      </c>
      <c r="K55" s="34">
        <f>(K15*Assumptions!$C$78+K16*Assumptions!$C$79+K17*Assumptions!$C$80+K19*Assumptions!$C$81+K20*Assumptions!$C$82)/30</f>
        <v>5.467777575519973</v>
      </c>
      <c r="L55" s="34">
        <f>(L15*Assumptions!$C$78+L16*Assumptions!$C$79+L17*Assumptions!$C$80+L19*Assumptions!$C$81+L20*Assumptions!$C$82)/30</f>
        <v>6.237299186910017</v>
      </c>
      <c r="M55" s="34">
        <f>(M15*Assumptions!$C$78+M16*Assumptions!$C$79+M17*Assumptions!$C$80+M19*Assumptions!$C$81+M20*Assumptions!$C$82)/30</f>
        <v>7.115121383358186</v>
      </c>
      <c r="N55" s="34">
        <f>(N15*Assumptions!$C$78+N16*Assumptions!$C$79+N17*Assumptions!$C$80+N19*Assumptions!$C$81+N20*Assumptions!$C$82)/30</f>
        <v>8.116486123700016</v>
      </c>
      <c r="O55" s="34">
        <f>(O15*Assumptions!$C$78+O16*Assumptions!$C$79+O17*Assumptions!$C$80+O19*Assumptions!$C$81+O20*Assumptions!$C$82)/30</f>
        <v>9.258780482691199</v>
      </c>
      <c r="P55" s="34">
        <f>(P15*Assumptions!$C$78+P16*Assumptions!$C$79+P17*Assumptions!$C$80+P19*Assumptions!$C$81+P20*Assumptions!$C$82)/30</f>
        <v>10.5618385493628</v>
      </c>
      <c r="Q55" s="34">
        <f>(Q15*Assumptions!$C$78+Q16*Assumptions!$C$79+Q17*Assumptions!$C$80+Q19*Assumptions!$C$81+Q20*Assumptions!$C$82)/30</f>
        <v>12.048285813811786</v>
      </c>
      <c r="R55" s="34">
        <f>(R15*Assumptions!$C$78+R16*Assumptions!$C$79+R17*Assumptions!$C$80+R19*Assumptions!$C$81+R20*Assumptions!$C$82)/30</f>
        <v>13.743932022143659</v>
      </c>
      <c r="S55" s="34">
        <f>(S15*Assumptions!$C$78+S16*Assumptions!$C$79+S17*Assumptions!$C$80+S19*Assumptions!$C$81+S20*Assumptions!$C$82)/30</f>
        <v>15.678219320856545</v>
      </c>
      <c r="T55" s="34">
        <f>(T15*Assumptions!$C$78+T16*Assumptions!$C$79+T17*Assumptions!$C$80+T19*Assumptions!$C$81+T20*Assumptions!$C$82)/30</f>
        <v>44.304513846288806</v>
      </c>
      <c r="U55" s="34">
        <f>(U15*Assumptions!$C$78+U16*Assumptions!$C$79+U17*Assumptions!$C$80+U19*Assumptions!$C$81+U20*Assumptions!$C$82)/30</f>
        <v>46.786821218095824</v>
      </c>
      <c r="V55" s="34">
        <f>(V15*Assumptions!$C$78+V16*Assumptions!$C$79+V17*Assumptions!$C$80+V19*Assumptions!$C$81+V20*Assumptions!$C$82)/30</f>
        <v>48.22094062579834</v>
      </c>
      <c r="W55" s="34">
        <f>(W15*Assumptions!$C$78+W16*Assumptions!$C$79+W17*Assumptions!$C$80+W19*Assumptions!$C$81+W20*Assumptions!$C$82)/30</f>
        <v>49.75728084250565</v>
      </c>
      <c r="X55" s="34">
        <f>(X15*Assumptions!$C$78+X16*Assumptions!$C$79+X17*Assumptions!$C$80+X19*Assumptions!$C$81+X20*Assumptions!$C$82)/30</f>
        <v>51.40312793780016</v>
      </c>
      <c r="Y55" s="34">
        <f>(Y15*Assumptions!$C$78+Y16*Assumptions!$C$79+Y17*Assumptions!$C$80+Y19*Assumptions!$C$81+Y20*Assumptions!$C$82)/30</f>
        <v>53.166287315931996</v>
      </c>
      <c r="Z55" s="34">
        <f>(Z15*Assumptions!$C$78+Z16*Assumptions!$C$79+Z17*Assumptions!$C$80+Z19*Assumptions!$C$81+Z20*Assumptions!$C$82)/30</f>
        <v>55.055120732828605</v>
      </c>
      <c r="AA55" s="34">
        <f>(AA15*Assumptions!$C$78+AA16*Assumptions!$C$79+AA17*Assumptions!$C$80+AA19*Assumptions!$C$81+AA20*Assumptions!$C$82)/30</f>
        <v>57.078585951591485</v>
      </c>
      <c r="AB55" s="34">
        <f>(AB15*Assumptions!$C$78+AB16*Assumptions!$C$79+AB17*Assumptions!$C$80+AB19*Assumptions!$C$81+AB20*Assumptions!$C$82)/30</f>
        <v>59.24627922454885</v>
      </c>
      <c r="AC55" s="34">
        <f>(AC15*Assumptions!$C$78+AC16*Assumptions!$C$79+AC17*Assumptions!$C$80+AC19*Assumptions!$C$81+AC20*Assumptions!$C$82)/30</f>
        <v>61.5684808033321</v>
      </c>
      <c r="AD55" s="34">
        <f>(AD15*Assumptions!$C$78+AD16*Assumptions!$C$79+AD17*Assumptions!$C$80+AD19*Assumptions!$C$81+AD20*Assumptions!$C$82)/30</f>
        <v>64.05620369280945</v>
      </c>
      <c r="AE55" s="34">
        <f>(AE15*Assumptions!$C$78+AE16*Assumptions!$C$79+AE17*Assumptions!$C$80+AE19*Assumptions!$C$81+AE20*Assumptions!$C$82)/30</f>
        <v>66.72124588009197</v>
      </c>
      <c r="AF55" s="34">
        <f>(AF15*Assumptions!$C$78+AF16*Assumptions!$C$79+AF17*Assumptions!$C$80+AF19*Assumptions!$C$81+AF20*Assumptions!$C$82)/30</f>
        <v>95.64228483149151</v>
      </c>
      <c r="AG55" s="34">
        <f>(AG15*Assumptions!$C$78+AG16*Assumptions!$C$79+AG17*Assumptions!$C$80+AG19*Assumptions!$C$81+AG20*Assumptions!$C$82)/30</f>
        <v>98.6579718287241</v>
      </c>
      <c r="AH55" s="34">
        <f>(AH15*Assumptions!$C$78+AH16*Assumptions!$C$79+AH17*Assumptions!$C$80+AH19*Assumptions!$C$81+AH20*Assumptions!$C$82)/30</f>
        <v>101.27360999335743</v>
      </c>
      <c r="AI55" s="34">
        <f>(AI15*Assumptions!$C$78+AI16*Assumptions!$C$79+AI17*Assumptions!$C$80+AI19*Assumptions!$C$81+AI20*Assumptions!$C$82)/30</f>
        <v>104.04019394014013</v>
      </c>
      <c r="AJ55" s="34">
        <f>(AJ15*Assumptions!$C$78+AJ16*Assumptions!$C$79+AJ17*Assumptions!$C$80+AJ19*Assumptions!$C$81+AJ20*Assumptions!$C$82)/30</f>
        <v>106.96643459455608</v>
      </c>
      <c r="AK55" s="34">
        <f>(AK15*Assumptions!$C$78+AK16*Assumptions!$C$79+AK17*Assumptions!$C$80+AK19*Assumptions!$C$81+AK20*Assumptions!$C$82)/30</f>
        <v>110.0615455806214</v>
      </c>
      <c r="AL55" s="34">
        <f>(AL15*Assumptions!$C$78+AL16*Assumptions!$C$79+AL17*Assumptions!$C$80+AL19*Assumptions!$C$81+AL20*Assumptions!$C$82)/30</f>
        <v>113.33527223109537</v>
      </c>
      <c r="AM55" s="34">
        <f>(AM15*Assumptions!$C$78+AM16*Assumptions!$C$79+AM17*Assumptions!$C$80+AM19*Assumptions!$C$81+AM20*Assumptions!$C$82)/30</f>
        <v>116.7979222718444</v>
      </c>
      <c r="AN55" s="34">
        <f>(AN15*Assumptions!$C$78+AN16*Assumptions!$C$79+AN17*Assumptions!$C$80+AN19*Assumptions!$C$81+AN20*Assumptions!$C$82)/30</f>
        <v>120.46039827697061</v>
      </c>
      <c r="AO55" s="34">
        <f>(AO15*Assumptions!$C$78+AO16*Assumptions!$C$79+AO17*Assumptions!$C$80+AO19*Assumptions!$C$81+AO20*Assumptions!$C$82)/30</f>
        <v>124.33423199688592</v>
      </c>
      <c r="AP55" s="34">
        <f>(AP15*Assumptions!$C$78+AP16*Assumptions!$C$79+AP17*Assumptions!$C$80+AP19*Assumptions!$C$81+AP20*Assumptions!$C$82)/30</f>
        <v>128.43162066743295</v>
      </c>
      <c r="AQ55" s="34">
        <f>(AQ15*Assumptions!$C$78+AQ16*Assumptions!$C$79+AQ17*Assumptions!$C$80+AQ19*Assumptions!$C$81+AQ20*Assumptions!$C$82)/30</f>
        <v>132.76546541436198</v>
      </c>
      <c r="AR55" s="34">
        <f>(AR15*Assumptions!$C$78+AR16*Assumptions!$C$79+AR17*Assumptions!$C$80+AR19*Assumptions!$C$81+AR20*Assumptions!$C$82)/30</f>
        <v>162.8233659435179</v>
      </c>
      <c r="AS55" s="34">
        <f>(AS15*Assumptions!$C$78+AS16*Assumptions!$C$79+AS17*Assumptions!$C$80+AS19*Assumptions!$C$81+AS20*Assumptions!$C$82)/30</f>
        <v>167.60301701359387</v>
      </c>
      <c r="AT55" s="34">
        <f>(AT15*Assumptions!$C$78+AT16*Assumptions!$C$79+AT17*Assumptions!$C$80+AT19*Assumptions!$C$81+AT20*Assumptions!$C$82)/30</f>
        <v>170.00408024481163</v>
      </c>
      <c r="AU55" s="34">
        <f>(AU15*Assumptions!$C$78+AU16*Assumptions!$C$79+AU17*Assumptions!$C$80+AU19*Assumptions!$C$81+AU20*Assumptions!$C$82)/30</f>
        <v>172.47095290630816</v>
      </c>
      <c r="AV55" s="34">
        <f>(AV15*Assumptions!$C$78+AV16*Assumptions!$C$79+AV17*Assumptions!$C$80+AV19*Assumptions!$C$81+AV20*Assumptions!$C$82)/30</f>
        <v>175.0054387328025</v>
      </c>
      <c r="AW55" s="34">
        <f>(AW15*Assumptions!$C$78+AW16*Assumptions!$C$79+AW17*Assumptions!$C$80+AW19*Assumptions!$C$81+AW20*Assumptions!$C$82)/30</f>
        <v>177.60939089659206</v>
      </c>
      <c r="AX55" s="34">
        <f>(AX15*Assumptions!$C$78+AX16*Assumptions!$C$79+AX17*Assumptions!$C$80+AX19*Assumptions!$C$81+AX20*Assumptions!$C$82)/30</f>
        <v>180.28471336256422</v>
      </c>
      <c r="AY55" s="34">
        <f>(AY15*Assumptions!$C$78+AY16*Assumptions!$C$79+AY17*Assumptions!$C$80+AY19*Assumptions!$C$81+AY20*Assumptions!$C$82)/30</f>
        <v>183.0333622803382</v>
      </c>
      <c r="AZ55" s="34">
        <f>(AZ15*Assumptions!$C$78+AZ16*Assumptions!$C$79+AZ17*Assumptions!$C$80+AZ19*Assumptions!$C$81+AZ20*Assumptions!$C$82)/30</f>
        <v>185.85734741456852</v>
      </c>
      <c r="BA55" s="34">
        <f>(BA15*Assumptions!$C$78+BA16*Assumptions!$C$79+BA17*Assumptions!$C$80+BA19*Assumptions!$C$81+BA20*Assumptions!$C$82)/30</f>
        <v>188.7587336144522</v>
      </c>
      <c r="BB55" s="34">
        <f>(BB15*Assumptions!$C$78+BB16*Assumptions!$C$79+BB17*Assumptions!$C$80+BB19*Assumptions!$C$81+BB20*Assumptions!$C$82)/30</f>
        <v>191.73964232350963</v>
      </c>
      <c r="BC55" s="34">
        <f>(BC15*Assumptions!$C$78+BC16*Assumptions!$C$79+BC17*Assumptions!$C$80+BC19*Assumptions!$C$81+BC20*Assumptions!$C$82)/30</f>
        <v>194.8022531307465</v>
      </c>
    </row>
    <row r="56">
      <c r="A56" s="4" t="inlineStr">
        <is>
          <t>TDS withheld this month</t>
        </is>
      </c>
      <c r="B56" s="2" t="inlineStr">
        <is>
          <t>₹ lakh</t>
        </is>
      </c>
      <c r="C56" s="34">
        <f>Assumptions!$C$83*(C15+C16+C17+C20)</f>
        <v>0.0387296</v>
      </c>
      <c r="D56" s="34">
        <f>Assumptions!$C$83*(D15+D16+D17+D20)</f>
        <v>0.06777680000000001</v>
      </c>
      <c r="E56" s="34">
        <f>Assumptions!$C$83*(E15+E16+E17+E20)</f>
        <v>0.11663047424000002</v>
      </c>
      <c r="F56" s="34">
        <f>Assumptions!$C$83*(F15+F16+F17+F20)</f>
        <v>0.16053252992</v>
      </c>
      <c r="G56" s="34">
        <f>Assumptions!$C$83*(G15+G16+G17+G20)</f>
        <v>0.20443458560000005</v>
      </c>
      <c r="H56" s="34">
        <f>Assumptions!$C$83*(H15+H16+H17+H20)</f>
        <v>0.24014972094414083</v>
      </c>
      <c r="I56" s="34">
        <f>Assumptions!$C$83*(I15+I16+I17+I20)</f>
        <v>0.27965837715119285</v>
      </c>
      <c r="J56" s="34">
        <f>Assumptions!$C$83*(J15+J16+J17+J20)</f>
        <v>0.3190168115519653</v>
      </c>
      <c r="K56" s="34">
        <f>Assumptions!$C$83*(K15+K16+K17+K20)</f>
        <v>0.3639144555207111</v>
      </c>
      <c r="L56" s="34">
        <f>Assumptions!$C$83*(L15+L16+L17+L20)</f>
        <v>0.4151308838323168</v>
      </c>
      <c r="M56" s="34">
        <f>Assumptions!$C$83*(M15+M16+M17+M20)</f>
        <v>0.4735553867043189</v>
      </c>
      <c r="N56" s="34">
        <f>Assumptions!$C$83*(N15+N16+N17+N20)</f>
        <v>0.5402024108793088</v>
      </c>
      <c r="O56" s="34">
        <f>Assumptions!$C$83*(O15+O16+O17+O20)</f>
        <v>0.616229173847462</v>
      </c>
      <c r="P56" s="34">
        <f>Assumptions!$C$83*(P15+P16+P17+P20)</f>
        <v>0.7029557570515291</v>
      </c>
      <c r="Q56" s="34">
        <f>Assumptions!$C$83*(Q15+Q16+Q17+Q20)</f>
        <v>0.8018880269602531</v>
      </c>
      <c r="R56" s="34">
        <f>Assumptions!$C$83*(R15+R16+R17+R20)</f>
        <v>0.9147437819974682</v>
      </c>
      <c r="S56" s="34">
        <f>Assumptions!$C$83*(S15+S16+S17+S20)</f>
        <v>1.0434825793258842</v>
      </c>
      <c r="T56" s="34">
        <f>Assumptions!$C$83*(T15+T16+T17+T20)</f>
        <v>1.2664878871072112</v>
      </c>
      <c r="U56" s="34">
        <f>Assumptions!$C$83*(U15+U16+U17+U20)</f>
        <v>1.36999371828925</v>
      </c>
      <c r="V56" s="34">
        <f>Assumptions!$C$83*(V15+V16+V17+V20)</f>
        <v>1.4581400918307172</v>
      </c>
      <c r="W56" s="34">
        <f>Assumptions!$C$83*(W15+W16+W17+W20)</f>
        <v>1.552569340818847</v>
      </c>
      <c r="X56" s="34">
        <f>Assumptions!$C$83*(X15+X16+X17+X20)</f>
        <v>1.6537292944982607</v>
      </c>
      <c r="Y56" s="34">
        <f>Assumptions!$C$83*(Y15+Y16+Y17+Y20)</f>
        <v>1.7620997023758753</v>
      </c>
      <c r="Z56" s="34">
        <f>Assumptions!$C$83*(Z15+Z16+Z17+Z20)</f>
        <v>1.8781945094255157</v>
      </c>
      <c r="AA56" s="34">
        <f>Assumptions!$C$83*(AA15+AA16+AA17+AA20)</f>
        <v>2.0025642934639185</v>
      </c>
      <c r="AB56" s="34">
        <f>Assumptions!$C$83*(AB15+AB16+AB17+AB20)</f>
        <v>2.135798876257473</v>
      </c>
      <c r="AC56" s="34">
        <f>Assumptions!$C$83*(AC15+AC16+AC17+AC20)</f>
        <v>2.2785301207428277</v>
      </c>
      <c r="AD56" s="34">
        <f>Assumptions!$C$83*(AD15+AD16+AD17+AD20)</f>
        <v>2.431434927626956</v>
      </c>
      <c r="AE56" s="34">
        <f>Assumptions!$C$83*(AE15+AE16+AE17+AE20)</f>
        <v>2.5952384455782904</v>
      </c>
      <c r="AF56" s="34">
        <f>Assumptions!$C$83*(AF15+AF16+AF17+AF20)</f>
        <v>2.8687199316727323</v>
      </c>
      <c r="AG56" s="34">
        <f>Assumptions!$C$83*(AG15+AG16+AG17+AG20)</f>
        <v>3.0295244143782942</v>
      </c>
      <c r="AH56" s="34">
        <f>Assumptions!$C$83*(AH15+AH16+AH17+AH20)</f>
        <v>3.188966086904878</v>
      </c>
      <c r="AI56" s="34">
        <f>Assumptions!$C$83*(AI15+AI16+AI17+AI20)</f>
        <v>3.357608973992437</v>
      </c>
      <c r="AJ56" s="34">
        <f>Assumptions!$C$83*(AJ15+AJ16+AJ17+AJ20)</f>
        <v>3.5359840682481747</v>
      </c>
      <c r="AK56" s="34">
        <f>Assumptions!$C$83*(AK15+AK16+AK17+AK20)</f>
        <v>3.7246530053153095</v>
      </c>
      <c r="AL56" s="34">
        <f>Assumptions!$C$83*(AL15+AL16+AL17+AL20)</f>
        <v>3.9242098322511145</v>
      </c>
      <c r="AM56" s="34">
        <f>Assumptions!$C$83*(AM15+AM16+AM17+AM20)</f>
        <v>4.135282877956056</v>
      </c>
      <c r="AN56" s="34">
        <f>Assumptions!$C$83*(AN15+AN16+AN17+AN20)</f>
        <v>4.35853673154383</v>
      </c>
      <c r="AO56" s="34">
        <f>Assumptions!$C$83*(AO15+AO16+AO17+AO20)</f>
        <v>4.594674334880777</v>
      </c>
      <c r="AP56" s="34">
        <f>Assumptions!$C$83*(AP15+AP16+AP17+AP20)</f>
        <v>4.844439195883681</v>
      </c>
      <c r="AQ56" s="34">
        <f>Assumptions!$C$83*(AQ15+AQ16+AQ17+AQ20)</f>
        <v>5.108617729544797</v>
      </c>
      <c r="AR56" s="34">
        <f>Assumptions!$C$83*(AR15+AR16+AR17+AR20)</f>
        <v>5.395426598445031</v>
      </c>
      <c r="AS56" s="34">
        <f>Assumptions!$C$83*(AS15+AS16+AS17+AS20)</f>
        <v>5.578815056289626</v>
      </c>
      <c r="AT56" s="34">
        <f>Assumptions!$C$83*(AT15+AT16+AT17+AT20)</f>
        <v>5.720758368710111</v>
      </c>
      <c r="AU56" s="34">
        <f>Assumptions!$C$83*(AU15+AU16+AU17+AU20)</f>
        <v>5.866592127829644</v>
      </c>
      <c r="AV56" s="34">
        <f>Assumptions!$C$83*(AV15+AV16+AV17+AV20)</f>
        <v>6.016422964776308</v>
      </c>
      <c r="AW56" s="34">
        <f>Assumptions!$C$83*(AW15+AW16+AW17+AW20)</f>
        <v>6.170360433272421</v>
      </c>
      <c r="AX56" s="34">
        <f>Assumptions!$C$83*(AX15+AX16+AX17+AX20)</f>
        <v>6.328517089738455</v>
      </c>
      <c r="AY56" s="34">
        <f>Assumptions!$C$83*(AY15+AY16+AY17+AY20)</f>
        <v>6.491008575592327</v>
      </c>
      <c r="AZ56" s="34">
        <f>Assumptions!$C$83*(AZ15+AZ16+AZ17+AZ20)</f>
        <v>6.657953701804368</v>
      </c>
      <c r="BA56" s="34">
        <f>Assumptions!$C$83*(BA15+BA16+BA17+BA20)</f>
        <v>6.8294745357698705</v>
      </c>
      <c r="BB56" s="34">
        <f>Assumptions!$C$83*(BB15+BB16+BB17+BB20)</f>
        <v>7.00569649056278</v>
      </c>
      <c r="BC56" s="34">
        <f>Assumptions!$C$83*(BC15+BC16+BC17+BC20)</f>
        <v>7.186748416635347</v>
      </c>
    </row>
    <row r="57">
      <c r="A57" s="4" t="inlineStr">
        <is>
          <t>TDS awaiting refund (trailing 12 months)</t>
        </is>
      </c>
      <c r="B57" s="2" t="inlineStr">
        <is>
          <t>₹ lakh</t>
        </is>
      </c>
      <c r="C57" s="34">
        <f>SUM(C56:C56)</f>
        <v>0.0387296</v>
      </c>
      <c r="D57" s="34">
        <f>SUM(C56:D56)</f>
        <v>0.10650640000000001</v>
      </c>
      <c r="E57" s="34">
        <f>SUM(C56:E56)</f>
        <v>0.22313687424000003</v>
      </c>
      <c r="F57" s="34">
        <f>SUM(C56:F56)</f>
        <v>0.38366940416000006</v>
      </c>
      <c r="G57" s="34">
        <f>SUM(C56:G56)</f>
        <v>0.5881039897600001</v>
      </c>
      <c r="H57" s="34">
        <f>SUM(C56:H56)</f>
        <v>0.828253710704141</v>
      </c>
      <c r="I57" s="34">
        <f>SUM(C56:I56)</f>
        <v>1.107912087855334</v>
      </c>
      <c r="J57" s="34">
        <f>SUM(C56:J56)</f>
        <v>1.426928899407299</v>
      </c>
      <c r="K57" s="34">
        <f>SUM(C56:K56)</f>
        <v>1.7908433549280103</v>
      </c>
      <c r="L57" s="34">
        <f>SUM(C56:L56)</f>
        <v>2.205974238760327</v>
      </c>
      <c r="M57" s="34">
        <f>SUM(C56:M56)</f>
        <v>2.679529625464646</v>
      </c>
      <c r="N57" s="34">
        <f>SUM(C56:N56)</f>
        <v>3.2197320363439546</v>
      </c>
      <c r="O57" s="34">
        <f>SUM(D56:O56)</f>
        <v>3.7972316101914165</v>
      </c>
      <c r="P57" s="34">
        <f>SUM(E56:P56)</f>
        <v>4.432410567242945</v>
      </c>
      <c r="Q57" s="34">
        <f>SUM(F56:Q56)</f>
        <v>5.117668119963199</v>
      </c>
      <c r="R57" s="34">
        <f>SUM(G56:R56)</f>
        <v>5.8718793720406675</v>
      </c>
      <c r="S57" s="34">
        <f>SUM(H56:S56)</f>
        <v>6.71092736576655</v>
      </c>
      <c r="T57" s="34">
        <f>SUM(I56:T56)</f>
        <v>7.737265531929621</v>
      </c>
      <c r="U57" s="34">
        <f>SUM(J56:U56)</f>
        <v>8.827600873067679</v>
      </c>
      <c r="V57" s="34">
        <f>SUM(K56:V56)</f>
        <v>9.966724153346432</v>
      </c>
      <c r="W57" s="34">
        <f>SUM(L56:W56)</f>
        <v>11.155379038644567</v>
      </c>
      <c r="X57" s="34">
        <f>SUM(M56:X56)</f>
        <v>12.39397744931051</v>
      </c>
      <c r="Y57" s="34">
        <f>SUM(N56:Y56)</f>
        <v>13.682521764982067</v>
      </c>
      <c r="Z57" s="34">
        <f>SUM(O56:Z56)</f>
        <v>15.020513863528274</v>
      </c>
      <c r="AA57" s="34">
        <f>SUM(P56:AA56)</f>
        <v>16.40684898314473</v>
      </c>
      <c r="AB57" s="34">
        <f>SUM(Q56:AB56)</f>
        <v>17.839692102350675</v>
      </c>
      <c r="AC57" s="34">
        <f>SUM(R56:AC56)</f>
        <v>19.316334196133248</v>
      </c>
      <c r="AD57" s="34">
        <f>SUM(S56:AD56)</f>
        <v>20.83302534176274</v>
      </c>
      <c r="AE57" s="34">
        <f>SUM(T56:AE56)</f>
        <v>22.38478120801514</v>
      </c>
      <c r="AF57" s="34">
        <f>SUM(U56:AF56)</f>
        <v>23.987013252580663</v>
      </c>
      <c r="AG57" s="34">
        <f>SUM(V56:AG56)</f>
        <v>25.646543948669706</v>
      </c>
      <c r="AH57" s="34">
        <f>SUM(W56:AH56)</f>
        <v>27.37736994374387</v>
      </c>
      <c r="AI57" s="34">
        <f>SUM(X56:AI56)</f>
        <v>29.182409576917458</v>
      </c>
      <c r="AJ57" s="34">
        <f>SUM(Y56:AJ56)</f>
        <v>31.064664350667375</v>
      </c>
      <c r="AK57" s="34">
        <f>SUM(Z56:AK56)</f>
        <v>33.027217653606805</v>
      </c>
      <c r="AL57" s="34">
        <f>SUM(AA56:AL56)</f>
        <v>35.07323297643241</v>
      </c>
      <c r="AM57" s="34">
        <f>SUM(AB56:AM56)</f>
        <v>37.20595156092455</v>
      </c>
      <c r="AN57" s="34">
        <f>SUM(AC56:AN56)</f>
        <v>39.4286894162109</v>
      </c>
      <c r="AO57" s="34">
        <f>SUM(AD56:AO56)</f>
        <v>41.74483363034885</v>
      </c>
      <c r="AP57" s="34">
        <f>SUM(AE56:AP56)</f>
        <v>44.15783789860558</v>
      </c>
      <c r="AQ57" s="34">
        <f>SUM(AF56:AQ56)</f>
        <v>46.67121718257208</v>
      </c>
      <c r="AR57" s="34">
        <f>SUM(AG56:AR56)</f>
        <v>49.19792384934438</v>
      </c>
      <c r="AS57" s="34">
        <f>SUM(AH56:AS56)</f>
        <v>51.74721449125572</v>
      </c>
      <c r="AT57" s="34">
        <f>SUM(AI56:AT56)</f>
        <v>54.27900677306094</v>
      </c>
      <c r="AU57" s="34">
        <f>SUM(AJ56:AU56)</f>
        <v>56.78798992689814</v>
      </c>
      <c r="AV57" s="34">
        <f>SUM(AK56:AV56)</f>
        <v>59.268428823426284</v>
      </c>
      <c r="AW57" s="34">
        <f>SUM(AL56:AW56)</f>
        <v>61.71413625138339</v>
      </c>
      <c r="AX57" s="34">
        <f>SUM(AM56:AX56)</f>
        <v>64.11844350887074</v>
      </c>
      <c r="AY57" s="34">
        <f>SUM(AN56:AY56)</f>
        <v>66.47416920650701</v>
      </c>
      <c r="AZ57" s="34">
        <f>SUM(AO56:AZ56)</f>
        <v>68.77358617676754</v>
      </c>
      <c r="BA57" s="34">
        <f>SUM(AP56:BA56)</f>
        <v>71.00838637765663</v>
      </c>
      <c r="BB57" s="34">
        <f>SUM(AQ56:BB56)</f>
        <v>73.16964367233574</v>
      </c>
      <c r="BC57" s="34">
        <f>SUM(AR56:BC56)</f>
        <v>75.24777435942629</v>
      </c>
    </row>
    <row r="58">
      <c r="A58" s="4" t="inlineStr">
        <is>
          <t>Working capital</t>
        </is>
      </c>
      <c r="B58" s="2" t="inlineStr">
        <is>
          <t>₹ lakh</t>
        </is>
      </c>
      <c r="C58" s="34">
        <f>C55+C57</f>
        <v>0.0387296</v>
      </c>
      <c r="D58" s="34">
        <f>D55+D57</f>
        <v>0.10650640000000001</v>
      </c>
      <c r="E58" s="34">
        <f>E55+E57</f>
        <v>1.28809738624</v>
      </c>
      <c r="F58" s="34">
        <f>F55+F57</f>
        <v>2.2473503001600004</v>
      </c>
      <c r="G58" s="34">
        <f>G55+G57</f>
        <v>3.2505052697600005</v>
      </c>
      <c r="H58" s="34">
        <f>H55+H57</f>
        <v>4.242247566704141</v>
      </c>
      <c r="I58" s="34">
        <f>I55+I57</f>
        <v>5.309750679855334</v>
      </c>
      <c r="J58" s="34">
        <f>J55+J57</f>
        <v>6.220123953783073</v>
      </c>
      <c r="K58" s="34">
        <f>K55+K57</f>
        <v>7.258620930447983</v>
      </c>
      <c r="L58" s="34">
        <f>L55+L57</f>
        <v>8.443273425670345</v>
      </c>
      <c r="M58" s="34">
        <f>M55+M57</f>
        <v>9.794651008822832</v>
      </c>
      <c r="N58" s="34">
        <f>N55+N57</f>
        <v>11.33621816004397</v>
      </c>
      <c r="O58" s="34">
        <f>O55+O57</f>
        <v>13.056012092882614</v>
      </c>
      <c r="P58" s="34">
        <f>P55+P57</f>
        <v>14.994249116605745</v>
      </c>
      <c r="Q58" s="34">
        <f>Q55+Q57</f>
        <v>17.165953933774986</v>
      </c>
      <c r="R58" s="34">
        <f>R55+R57</f>
        <v>19.615811394184327</v>
      </c>
      <c r="S58" s="34">
        <f>S55+S57</f>
        <v>22.389146686623096</v>
      </c>
      <c r="T58" s="34">
        <f>T55+T57</f>
        <v>52.04177937821843</v>
      </c>
      <c r="U58" s="34">
        <f>U55+U57</f>
        <v>55.614422091163505</v>
      </c>
      <c r="V58" s="34">
        <f>V55+V57</f>
        <v>58.187664779144775</v>
      </c>
      <c r="W58" s="34">
        <f>W55+W57</f>
        <v>60.91265988115022</v>
      </c>
      <c r="X58" s="34">
        <f>X55+X57</f>
        <v>63.79710538711067</v>
      </c>
      <c r="Y58" s="34">
        <f>Y55+Y57</f>
        <v>66.84880908091407</v>
      </c>
      <c r="Z58" s="34">
        <f>Z55+Z57</f>
        <v>70.07563459635688</v>
      </c>
      <c r="AA58" s="34">
        <f>AA55+AA57</f>
        <v>73.48543493473622</v>
      </c>
      <c r="AB58" s="34">
        <f>AB55+AB57</f>
        <v>77.08597132689953</v>
      </c>
      <c r="AC58" s="34">
        <f>AC55+AC57</f>
        <v>80.88481499946535</v>
      </c>
      <c r="AD58" s="34">
        <f>AD55+AD57</f>
        <v>84.88922903457218</v>
      </c>
      <c r="AE58" s="34">
        <f>AE55+AE57</f>
        <v>89.10602708810711</v>
      </c>
      <c r="AF58" s="34">
        <f>AF55+AF57</f>
        <v>119.62929808407218</v>
      </c>
      <c r="AG58" s="34">
        <f>AG55+AG57</f>
        <v>124.3045157773938</v>
      </c>
      <c r="AH58" s="34">
        <f>AH55+AH57</f>
        <v>128.65097993710128</v>
      </c>
      <c r="AI58" s="34">
        <f>AI55+AI57</f>
        <v>133.2226035170576</v>
      </c>
      <c r="AJ58" s="34">
        <f>AJ55+AJ57</f>
        <v>138.03109894522345</v>
      </c>
      <c r="AK58" s="34">
        <f>AK55+AK57</f>
        <v>143.0887632342282</v>
      </c>
      <c r="AL58" s="34">
        <f>AL55+AL57</f>
        <v>148.40850520752778</v>
      </c>
      <c r="AM58" s="34">
        <f>AM55+AM57</f>
        <v>154.00387383276893</v>
      </c>
      <c r="AN58" s="34">
        <f>AN55+AN57</f>
        <v>159.88908769318152</v>
      </c>
      <c r="AO58" s="34">
        <f>AO55+AO57</f>
        <v>166.07906562723477</v>
      </c>
      <c r="AP58" s="34">
        <f>AP55+AP57</f>
        <v>172.58945856603853</v>
      </c>
      <c r="AQ58" s="34">
        <f>AQ55+AQ57</f>
        <v>179.43668259693408</v>
      </c>
      <c r="AR58" s="34">
        <f>AR55+AR57</f>
        <v>212.02128979286226</v>
      </c>
      <c r="AS58" s="34">
        <f>AS55+AS57</f>
        <v>219.3502315048496</v>
      </c>
      <c r="AT58" s="34">
        <f>AT55+AT57</f>
        <v>224.28308701787256</v>
      </c>
      <c r="AU58" s="34">
        <f>AU55+AU57</f>
        <v>229.2589428332063</v>
      </c>
      <c r="AV58" s="34">
        <f>AV55+AV57</f>
        <v>234.2738675562288</v>
      </c>
      <c r="AW58" s="34">
        <f>AW55+AW57</f>
        <v>239.32352714797545</v>
      </c>
      <c r="AX58" s="34">
        <f>AX55+AX57</f>
        <v>244.40315687143496</v>
      </c>
      <c r="AY58" s="34">
        <f>AY55+AY57</f>
        <v>249.5075314868452</v>
      </c>
      <c r="AZ58" s="34">
        <f>AZ55+AZ57</f>
        <v>254.63093359133606</v>
      </c>
      <c r="BA58" s="34">
        <f>BA55+BA57</f>
        <v>259.76711999210886</v>
      </c>
      <c r="BB58" s="34">
        <f>BB55+BB57</f>
        <v>264.9092859958454</v>
      </c>
      <c r="BC58" s="34">
        <f>BC55+BC57</f>
        <v>270.0500274901728</v>
      </c>
    </row>
    <row r="59">
      <c r="A59" s="4" t="inlineStr">
        <is>
          <t>Increase in working capital</t>
        </is>
      </c>
      <c r="B59" s="2" t="inlineStr">
        <is>
          <t>₹ lakh</t>
        </is>
      </c>
      <c r="C59" s="34">
        <f>C58</f>
        <v>0.0387296</v>
      </c>
      <c r="D59" s="34">
        <f>D58-C58</f>
        <v>0.06777680000000001</v>
      </c>
      <c r="E59" s="34">
        <f>E58-D58</f>
        <v>1.18159098624</v>
      </c>
      <c r="F59" s="34">
        <f>F58-E58</f>
        <v>0.9592529139200003</v>
      </c>
      <c r="G59" s="34">
        <f>G58-F58</f>
        <v>1.0031549696000002</v>
      </c>
      <c r="H59" s="34">
        <f>H58-G58</f>
        <v>0.9917422969441407</v>
      </c>
      <c r="I59" s="34">
        <f>I58-H58</f>
        <v>1.0675031131511927</v>
      </c>
      <c r="J59" s="34">
        <f>J58-I58</f>
        <v>0.910373273927739</v>
      </c>
      <c r="K59" s="34">
        <f>K58-J58</f>
        <v>1.0384969766649101</v>
      </c>
      <c r="L59" s="34">
        <f>L58-K58</f>
        <v>1.1846524952223616</v>
      </c>
      <c r="M59" s="34">
        <f>M58-L58</f>
        <v>1.3513775831524875</v>
      </c>
      <c r="N59" s="34">
        <f>N58-M58</f>
        <v>1.5415671512211375</v>
      </c>
      <c r="O59" s="34">
        <f>O58-N58</f>
        <v>1.7197939328386447</v>
      </c>
      <c r="P59" s="34">
        <f>P58-O58</f>
        <v>1.938237023723131</v>
      </c>
      <c r="Q59" s="34">
        <f>Q58-P58</f>
        <v>2.171704817169241</v>
      </c>
      <c r="R59" s="34">
        <f>R58-Q58</f>
        <v>2.4498574604093406</v>
      </c>
      <c r="S59" s="34">
        <f>S58-R58</f>
        <v>2.7733352924387695</v>
      </c>
      <c r="T59" s="34">
        <f>T58-S58</f>
        <v>29.652632691595333</v>
      </c>
      <c r="U59" s="34">
        <f>U58-T58</f>
        <v>3.5726427129450755</v>
      </c>
      <c r="V59" s="34">
        <f>V58-U58</f>
        <v>2.5732426879812706</v>
      </c>
      <c r="W59" s="34">
        <f>W58-V58</f>
        <v>2.724995102005444</v>
      </c>
      <c r="X59" s="34">
        <f>X58-W58</f>
        <v>2.88444550596045</v>
      </c>
      <c r="Y59" s="34">
        <f>Y58-X58</f>
        <v>3.051703693803397</v>
      </c>
      <c r="Z59" s="34">
        <f>Z58-Y58</f>
        <v>3.226825515442812</v>
      </c>
      <c r="AA59" s="34">
        <f>AA58-Z58</f>
        <v>3.409800338379341</v>
      </c>
      <c r="AB59" s="34">
        <f>AB58-AA58</f>
        <v>3.6005363921633062</v>
      </c>
      <c r="AC59" s="34">
        <f>AC58-AB58</f>
        <v>3.7988436725658232</v>
      </c>
      <c r="AD59" s="34">
        <f>AD58-AC58</f>
        <v>4.004414035106834</v>
      </c>
      <c r="AE59" s="34">
        <f>AE58-AD58</f>
        <v>4.21679805353493</v>
      </c>
      <c r="AF59" s="34">
        <f>AF58-AE58</f>
        <v>30.523270995965063</v>
      </c>
      <c r="AG59" s="34">
        <f>AG58-AF58</f>
        <v>4.675217693321628</v>
      </c>
      <c r="AH59" s="34">
        <f>AH58-AG58</f>
        <v>4.34646415970748</v>
      </c>
      <c r="AI59" s="34">
        <f>AI58-AH58</f>
        <v>4.571623579956309</v>
      </c>
      <c r="AJ59" s="34">
        <f>AJ58-AI58</f>
        <v>4.808495428165855</v>
      </c>
      <c r="AK59" s="34">
        <f>AK58-AJ58</f>
        <v>5.057664289004748</v>
      </c>
      <c r="AL59" s="34">
        <f>AL58-AK58</f>
        <v>5.319741973299585</v>
      </c>
      <c r="AM59" s="34">
        <f>AM58-AL58</f>
        <v>5.59536862524115</v>
      </c>
      <c r="AN59" s="34">
        <f>AN58-AM58</f>
        <v>5.885213860412591</v>
      </c>
      <c r="AO59" s="34">
        <f>AO58-AN58</f>
        <v>6.189977934053246</v>
      </c>
      <c r="AP59" s="34">
        <f>AP58-AO58</f>
        <v>6.510392938803761</v>
      </c>
      <c r="AQ59" s="34">
        <f>AQ58-AP58</f>
        <v>6.847224030895546</v>
      </c>
      <c r="AR59" s="34">
        <f>AR58-AQ58</f>
        <v>32.584607195928186</v>
      </c>
      <c r="AS59" s="34">
        <f>AS58-AR58</f>
        <v>7.328941711987341</v>
      </c>
      <c r="AT59" s="34">
        <f>AT58-AS58</f>
        <v>4.932855513022957</v>
      </c>
      <c r="AU59" s="34">
        <f>AU58-AT58</f>
        <v>4.975855815333745</v>
      </c>
      <c r="AV59" s="34">
        <f>AV58-AU58</f>
        <v>5.014924723022489</v>
      </c>
      <c r="AW59" s="34">
        <f>AW58-AV58</f>
        <v>5.049659591746661</v>
      </c>
      <c r="AX59" s="34">
        <f>AX58-AW58</f>
        <v>5.0796297234595045</v>
      </c>
      <c r="AY59" s="34">
        <f>AY58-AX58</f>
        <v>5.104374615410251</v>
      </c>
      <c r="AZ59" s="34">
        <f>AZ58-AY58</f>
        <v>5.12340210449085</v>
      </c>
      <c r="BA59" s="34">
        <f>BA58-AZ58</f>
        <v>5.1361864007728</v>
      </c>
      <c r="BB59" s="34">
        <f>BB58-BA58</f>
        <v>5.14216600373652</v>
      </c>
      <c r="BC59" s="34">
        <f>BC58-BB58</f>
        <v>5.140741494327415</v>
      </c>
    </row>
    <row r="60">
      <c r="A60" s="13" t="inlineStr">
        <is>
          <t>Cash</t>
        </is>
      </c>
      <c r="B60" s="14" t="n"/>
    </row>
    <row r="61">
      <c r="A61" s="4" t="inlineStr">
        <is>
          <t>Equity raised</t>
        </is>
      </c>
      <c r="B61" s="2" t="inlineStr">
        <is>
          <t>₹ lakh</t>
        </is>
      </c>
      <c r="C61" s="34">
        <f>IF(C8=1,Assumptions!$C$87,0)+IF(C8=Assumptions!$C$90,Assumptions!$C$89,0)</f>
        <v>600.0</v>
      </c>
      <c r="D61" s="34">
        <f>IF(D8=1,Assumptions!$C$87,0)+IF(D8=Assumptions!$C$90,Assumptions!$C$89,0)</f>
        <v>0.0</v>
      </c>
      <c r="E61" s="34">
        <f>IF(E8=1,Assumptions!$C$87,0)+IF(E8=Assumptions!$C$90,Assumptions!$C$89,0)</f>
        <v>0.0</v>
      </c>
      <c r="F61" s="34">
        <f>IF(F8=1,Assumptions!$C$87,0)+IF(F8=Assumptions!$C$90,Assumptions!$C$89,0)</f>
        <v>0.0</v>
      </c>
      <c r="G61" s="34">
        <f>IF(G8=1,Assumptions!$C$87,0)+IF(G8=Assumptions!$C$90,Assumptions!$C$89,0)</f>
        <v>0.0</v>
      </c>
      <c r="H61" s="34">
        <f>IF(H8=1,Assumptions!$C$87,0)+IF(H8=Assumptions!$C$90,Assumptions!$C$89,0)</f>
        <v>0.0</v>
      </c>
      <c r="I61" s="34">
        <f>IF(I8=1,Assumptions!$C$87,0)+IF(I8=Assumptions!$C$90,Assumptions!$C$89,0)</f>
        <v>0.0</v>
      </c>
      <c r="J61" s="34">
        <f>IF(J8=1,Assumptions!$C$87,0)+IF(J8=Assumptions!$C$90,Assumptions!$C$89,0)</f>
        <v>0.0</v>
      </c>
      <c r="K61" s="34">
        <f>IF(K8=1,Assumptions!$C$87,0)+IF(K8=Assumptions!$C$90,Assumptions!$C$89,0)</f>
        <v>0.0</v>
      </c>
      <c r="L61" s="34">
        <f>IF(L8=1,Assumptions!$C$87,0)+IF(L8=Assumptions!$C$90,Assumptions!$C$89,0)</f>
        <v>0.0</v>
      </c>
      <c r="M61" s="34">
        <f>IF(M8=1,Assumptions!$C$87,0)+IF(M8=Assumptions!$C$90,Assumptions!$C$89,0)</f>
        <v>0.0</v>
      </c>
      <c r="N61" s="34">
        <f>IF(N8=1,Assumptions!$C$87,0)+IF(N8=Assumptions!$C$90,Assumptions!$C$89,0)</f>
        <v>0.0</v>
      </c>
      <c r="O61" s="34">
        <f>IF(O8=1,Assumptions!$C$87,0)+IF(O8=Assumptions!$C$90,Assumptions!$C$89,0)</f>
        <v>0.0</v>
      </c>
      <c r="P61" s="34">
        <f>IF(P8=1,Assumptions!$C$87,0)+IF(P8=Assumptions!$C$90,Assumptions!$C$89,0)</f>
        <v>0.0</v>
      </c>
      <c r="Q61" s="34">
        <f>IF(Q8=1,Assumptions!$C$87,0)+IF(Q8=Assumptions!$C$90,Assumptions!$C$89,0)</f>
        <v>0.0</v>
      </c>
      <c r="R61" s="34">
        <f>IF(R8=1,Assumptions!$C$87,0)+IF(R8=Assumptions!$C$90,Assumptions!$C$89,0)</f>
        <v>0.0</v>
      </c>
      <c r="S61" s="34">
        <f>IF(S8=1,Assumptions!$C$87,0)+IF(S8=Assumptions!$C$90,Assumptions!$C$89,0)</f>
        <v>0.0</v>
      </c>
      <c r="T61" s="34">
        <f>IF(T8=1,Assumptions!$C$87,0)+IF(T8=Assumptions!$C$90,Assumptions!$C$89,0)</f>
        <v>0.0</v>
      </c>
      <c r="U61" s="34">
        <f>IF(U8=1,Assumptions!$C$87,0)+IF(U8=Assumptions!$C$90,Assumptions!$C$89,0)</f>
        <v>0.0</v>
      </c>
      <c r="V61" s="34">
        <f>IF(V8=1,Assumptions!$C$87,0)+IF(V8=Assumptions!$C$90,Assumptions!$C$89,0)</f>
        <v>0.0</v>
      </c>
      <c r="W61" s="34">
        <f>IF(W8=1,Assumptions!$C$87,0)+IF(W8=Assumptions!$C$90,Assumptions!$C$89,0)</f>
        <v>0.0</v>
      </c>
      <c r="X61" s="34">
        <f>IF(X8=1,Assumptions!$C$87,0)+IF(X8=Assumptions!$C$90,Assumptions!$C$89,0)</f>
        <v>0.0</v>
      </c>
      <c r="Y61" s="34">
        <f>IF(Y8=1,Assumptions!$C$87,0)+IF(Y8=Assumptions!$C$90,Assumptions!$C$89,0)</f>
        <v>0.0</v>
      </c>
      <c r="Z61" s="34">
        <f>IF(Z8=1,Assumptions!$C$87,0)+IF(Z8=Assumptions!$C$90,Assumptions!$C$89,0)</f>
        <v>0.0</v>
      </c>
      <c r="AA61" s="34">
        <f>IF(AA8=1,Assumptions!$C$87,0)+IF(AA8=Assumptions!$C$90,Assumptions!$C$89,0)</f>
        <v>0.0</v>
      </c>
      <c r="AB61" s="34">
        <f>IF(AB8=1,Assumptions!$C$87,0)+IF(AB8=Assumptions!$C$90,Assumptions!$C$89,0)</f>
        <v>0.0</v>
      </c>
      <c r="AC61" s="34">
        <f>IF(AC8=1,Assumptions!$C$87,0)+IF(AC8=Assumptions!$C$90,Assumptions!$C$89,0)</f>
        <v>0.0</v>
      </c>
      <c r="AD61" s="34">
        <f>IF(AD8=1,Assumptions!$C$87,0)+IF(AD8=Assumptions!$C$90,Assumptions!$C$89,0)</f>
        <v>0.0</v>
      </c>
      <c r="AE61" s="34">
        <f>IF(AE8=1,Assumptions!$C$87,0)+IF(AE8=Assumptions!$C$90,Assumptions!$C$89,0)</f>
        <v>0.0</v>
      </c>
      <c r="AF61" s="34">
        <f>IF(AF8=1,Assumptions!$C$87,0)+IF(AF8=Assumptions!$C$90,Assumptions!$C$89,0)</f>
        <v>0.0</v>
      </c>
      <c r="AG61" s="34">
        <f>IF(AG8=1,Assumptions!$C$87,0)+IF(AG8=Assumptions!$C$90,Assumptions!$C$89,0)</f>
        <v>0.0</v>
      </c>
      <c r="AH61" s="34">
        <f>IF(AH8=1,Assumptions!$C$87,0)+IF(AH8=Assumptions!$C$90,Assumptions!$C$89,0)</f>
        <v>0.0</v>
      </c>
      <c r="AI61" s="34">
        <f>IF(AI8=1,Assumptions!$C$87,0)+IF(AI8=Assumptions!$C$90,Assumptions!$C$89,0)</f>
        <v>0.0</v>
      </c>
      <c r="AJ61" s="34">
        <f>IF(AJ8=1,Assumptions!$C$87,0)+IF(AJ8=Assumptions!$C$90,Assumptions!$C$89,0)</f>
        <v>0.0</v>
      </c>
      <c r="AK61" s="34">
        <f>IF(AK8=1,Assumptions!$C$87,0)+IF(AK8=Assumptions!$C$90,Assumptions!$C$89,0)</f>
        <v>0.0</v>
      </c>
      <c r="AL61" s="34">
        <f>IF(AL8=1,Assumptions!$C$87,0)+IF(AL8=Assumptions!$C$90,Assumptions!$C$89,0)</f>
        <v>0.0</v>
      </c>
      <c r="AM61" s="34">
        <f>IF(AM8=1,Assumptions!$C$87,0)+IF(AM8=Assumptions!$C$90,Assumptions!$C$89,0)</f>
        <v>0.0</v>
      </c>
      <c r="AN61" s="34">
        <f>IF(AN8=1,Assumptions!$C$87,0)+IF(AN8=Assumptions!$C$90,Assumptions!$C$89,0)</f>
        <v>0.0</v>
      </c>
      <c r="AO61" s="34">
        <f>IF(AO8=1,Assumptions!$C$87,0)+IF(AO8=Assumptions!$C$90,Assumptions!$C$89,0)</f>
        <v>0.0</v>
      </c>
      <c r="AP61" s="34">
        <f>IF(AP8=1,Assumptions!$C$87,0)+IF(AP8=Assumptions!$C$90,Assumptions!$C$89,0)</f>
        <v>0.0</v>
      </c>
      <c r="AQ61" s="34">
        <f>IF(AQ8=1,Assumptions!$C$87,0)+IF(AQ8=Assumptions!$C$90,Assumptions!$C$89,0)</f>
        <v>0.0</v>
      </c>
      <c r="AR61" s="34">
        <f>IF(AR8=1,Assumptions!$C$87,0)+IF(AR8=Assumptions!$C$90,Assumptions!$C$89,0)</f>
        <v>0.0</v>
      </c>
      <c r="AS61" s="34">
        <f>IF(AS8=1,Assumptions!$C$87,0)+IF(AS8=Assumptions!$C$90,Assumptions!$C$89,0)</f>
        <v>0.0</v>
      </c>
      <c r="AT61" s="34">
        <f>IF(AT8=1,Assumptions!$C$87,0)+IF(AT8=Assumptions!$C$90,Assumptions!$C$89,0)</f>
        <v>0.0</v>
      </c>
      <c r="AU61" s="34">
        <f>IF(AU8=1,Assumptions!$C$87,0)+IF(AU8=Assumptions!$C$90,Assumptions!$C$89,0)</f>
        <v>0.0</v>
      </c>
      <c r="AV61" s="34">
        <f>IF(AV8=1,Assumptions!$C$87,0)+IF(AV8=Assumptions!$C$90,Assumptions!$C$89,0)</f>
        <v>0.0</v>
      </c>
      <c r="AW61" s="34">
        <f>IF(AW8=1,Assumptions!$C$87,0)+IF(AW8=Assumptions!$C$90,Assumptions!$C$89,0)</f>
        <v>0.0</v>
      </c>
      <c r="AX61" s="34">
        <f>IF(AX8=1,Assumptions!$C$87,0)+IF(AX8=Assumptions!$C$90,Assumptions!$C$89,0)</f>
        <v>0.0</v>
      </c>
      <c r="AY61" s="34">
        <f>IF(AY8=1,Assumptions!$C$87,0)+IF(AY8=Assumptions!$C$90,Assumptions!$C$89,0)</f>
        <v>0.0</v>
      </c>
      <c r="AZ61" s="34">
        <f>IF(AZ8=1,Assumptions!$C$87,0)+IF(AZ8=Assumptions!$C$90,Assumptions!$C$89,0)</f>
        <v>0.0</v>
      </c>
      <c r="BA61" s="34">
        <f>IF(BA8=1,Assumptions!$C$87,0)+IF(BA8=Assumptions!$C$90,Assumptions!$C$89,0)</f>
        <v>0.0</v>
      </c>
      <c r="BB61" s="34">
        <f>IF(BB8=1,Assumptions!$C$87,0)+IF(BB8=Assumptions!$C$90,Assumptions!$C$89,0)</f>
        <v>0.0</v>
      </c>
      <c r="BC61" s="34">
        <f>IF(BC8=1,Assumptions!$C$87,0)+IF(BC8=Assumptions!$C$90,Assumptions!$C$89,0)</f>
        <v>0.0</v>
      </c>
    </row>
    <row r="62">
      <c r="A62" s="4" t="inlineStr">
        <is>
          <t>Opening cash</t>
        </is>
      </c>
      <c r="B62" s="2" t="inlineStr">
        <is>
          <t>₹ lakh</t>
        </is>
      </c>
      <c r="C62" s="34">
        <f>Assumptions!$C$86</f>
        <v>20.0</v>
      </c>
      <c r="D62" s="34">
        <f>C64</f>
        <v>600.5679207</v>
      </c>
      <c r="E62" s="34">
        <f>D64</f>
        <v>581.087502675</v>
      </c>
      <c r="F62" s="34">
        <f>E64</f>
        <v>558.4957929394</v>
      </c>
      <c r="G62" s="34">
        <f>F64</f>
        <v>533.8887902516</v>
      </c>
      <c r="H62" s="34">
        <f>G64</f>
        <v>507.0002544836</v>
      </c>
      <c r="I62" s="34">
        <f>H64</f>
        <v>477.8139321222628</v>
      </c>
      <c r="J62" s="34">
        <f>I64</f>
        <v>447.99429908799596</v>
      </c>
      <c r="K62" s="34">
        <f>J64</f>
        <v>417.1437698485299</v>
      </c>
      <c r="L62" s="34">
        <f>K64</f>
        <v>385.0139555728574</v>
      </c>
      <c r="M62" s="34">
        <f>L64</f>
        <v>351.62887740515515</v>
      </c>
      <c r="N62" s="34">
        <f>M64</f>
        <v>317.0159371665419</v>
      </c>
      <c r="O62" s="34">
        <f>N64</f>
        <v>281.20639314326365</v>
      </c>
      <c r="P62" s="34">
        <f>O64</f>
        <v>244.2746324361409</v>
      </c>
      <c r="Q62" s="34">
        <f>P64</f>
        <v>206.25164849524322</v>
      </c>
      <c r="R62" s="34">
        <f>Q64</f>
        <v>167.20364826429955</v>
      </c>
      <c r="S62" s="34">
        <f>R64</f>
        <v>127.17861088256113</v>
      </c>
      <c r="T62" s="34">
        <f>S64</f>
        <v>86.2369164529307</v>
      </c>
      <c r="U62" s="34">
        <f>T64</f>
        <v>22.256236598935786</v>
      </c>
      <c r="V62" s="34">
        <f>U64</f>
        <v>-13.885979621168438</v>
      </c>
      <c r="W62" s="34">
        <f>V64</f>
        <v>-49.216264148660265</v>
      </c>
      <c r="X62" s="34">
        <f>W64</f>
        <v>-84.80709845232073</v>
      </c>
      <c r="Y62" s="34">
        <f>X64</f>
        <v>-120.58190206188593</v>
      </c>
      <c r="Z62" s="34">
        <f>Y64</f>
        <v>-156.45819712177519</v>
      </c>
      <c r="AA62" s="34">
        <f>Z64</f>
        <v>-192.34712626880128</v>
      </c>
      <c r="AB62" s="34">
        <f>AA64</f>
        <v>-228.15292745193838</v>
      </c>
      <c r="AC62" s="34">
        <f>AB64</f>
        <v>-263.77236140159755</v>
      </c>
      <c r="AD62" s="34">
        <f>AC64</f>
        <v>-299.0940869777014</v>
      </c>
      <c r="AE62" s="34">
        <f>AD64</f>
        <v>-333.9979790893835</v>
      </c>
      <c r="AF62" s="34">
        <f>AE64</f>
        <v>-368.3543832767865</v>
      </c>
      <c r="AG62" s="34">
        <f>AF64</f>
        <v>-419.3678879740084</v>
      </c>
      <c r="AH62" s="34">
        <f>AG64</f>
        <v>-443.3068266310764</v>
      </c>
      <c r="AI62" s="34">
        <f>AH64</f>
        <v>-465.37096971206034</v>
      </c>
      <c r="AJ62" s="34">
        <f>AI64</f>
        <v>-485.9581795298415</v>
      </c>
      <c r="AK62" s="34">
        <f>AJ64</f>
        <v>-504.915112349774</v>
      </c>
      <c r="AL62" s="34">
        <f>AK64</f>
        <v>-522.0794838008838</v>
      </c>
      <c r="AM62" s="34">
        <f>AL64</f>
        <v>-537.2795464113435</v>
      </c>
      <c r="AN62" s="34">
        <f>AM64</f>
        <v>-554.8887365290688</v>
      </c>
      <c r="AO62" s="34">
        <f>AN64</f>
        <v>-567.2206888276112</v>
      </c>
      <c r="AP62" s="34">
        <f>AO64</f>
        <v>-577.0106164912929</v>
      </c>
      <c r="AQ62" s="34">
        <f>AP64</f>
        <v>-584.0430550610218</v>
      </c>
      <c r="AR62" s="34">
        <f>AQ64</f>
        <v>-588.0899678030133</v>
      </c>
      <c r="AS62" s="34">
        <f>AR64</f>
        <v>-610.8569985157488</v>
      </c>
      <c r="AT62" s="34">
        <f>AS64</f>
        <v>-604.1407477302183</v>
      </c>
      <c r="AU62" s="34">
        <f>AT64</f>
        <v>-593.343279864972</v>
      </c>
      <c r="AV62" s="34">
        <f>AU64</f>
        <v>-580.8307681395378</v>
      </c>
      <c r="AW62" s="34">
        <f>AV64</f>
        <v>-566.5247084799539</v>
      </c>
      <c r="AX62" s="34">
        <f>AW64</f>
        <v>-550.3445370048413</v>
      </c>
      <c r="AY62" s="34">
        <f>AX64</f>
        <v>-532.2076109828984</v>
      </c>
      <c r="AZ62" s="34">
        <f>AY64</f>
        <v>-512.0291959469348</v>
      </c>
      <c r="BA62" s="34">
        <f>AZ64</f>
        <v>-489.7224601546489</v>
      </c>
      <c r="BB62" s="34">
        <f>BA64</f>
        <v>-465.19847776741994</v>
      </c>
      <c r="BC62" s="34">
        <f>BB64</f>
        <v>-438.3662423256045</v>
      </c>
    </row>
    <row r="63">
      <c r="A63" s="4" t="inlineStr">
        <is>
          <t>Net cash flow</t>
        </is>
      </c>
      <c r="B63" s="2" t="inlineStr">
        <is>
          <t>₹ lakh</t>
        </is>
      </c>
      <c r="C63" s="34">
        <f>C61+C49-C54-C51-C59</f>
        <v>580.5679207</v>
      </c>
      <c r="D63" s="34">
        <f>D61+D49-D54-D51-D59</f>
        <v>-19.480418025</v>
      </c>
      <c r="E63" s="34">
        <f>E61+E49-E54-E51-E59</f>
        <v>-22.591709735600002</v>
      </c>
      <c r="F63" s="34">
        <f>F61+F49-F54-F51-F59</f>
        <v>-24.607002687799998</v>
      </c>
      <c r="G63" s="34">
        <f>G61+G49-G54-G51-G59</f>
        <v>-26.888535767999997</v>
      </c>
      <c r="H63" s="34">
        <f>H61+H49-H54-H51-H59</f>
        <v>-29.186322361337155</v>
      </c>
      <c r="I63" s="34">
        <f>I61+I49-I54-I51-I59</f>
        <v>-29.81963303426688</v>
      </c>
      <c r="J63" s="34">
        <f>J61+J49-J54-J51-J59</f>
        <v>-30.85052923946605</v>
      </c>
      <c r="K63" s="34">
        <f>K61+K49-K54-K51-K59</f>
        <v>-32.129814275672494</v>
      </c>
      <c r="L63" s="34">
        <f>L61+L49-L54-L51-L59</f>
        <v>-33.385078167702254</v>
      </c>
      <c r="M63" s="34">
        <f>M61+M49-M54-M51-M59</f>
        <v>-34.612940238613234</v>
      </c>
      <c r="N63" s="34">
        <f>N61+N49-N54-N51-N59</f>
        <v>-35.80954402327827</v>
      </c>
      <c r="O63" s="34">
        <f>O61+O49-O54-O51-O59</f>
        <v>-36.93176070712276</v>
      </c>
      <c r="P63" s="34">
        <f>P61+P49-P54-P51-P59</f>
        <v>-38.0229839408977</v>
      </c>
      <c r="Q63" s="34">
        <f>Q61+Q49-Q54-Q51-Q59</f>
        <v>-39.048000230943664</v>
      </c>
      <c r="R63" s="34">
        <f>R61+R49-R54-R51-R59</f>
        <v>-40.025037381738414</v>
      </c>
      <c r="S63" s="34">
        <f>S61+S49-S54-S51-S59</f>
        <v>-40.94169442963043</v>
      </c>
      <c r="T63" s="34">
        <f>T61+T49-T54-T51-T59</f>
        <v>-63.980679853994914</v>
      </c>
      <c r="U63" s="34">
        <f>U61+U49-U54-U51-U59</f>
        <v>-36.142216220104224</v>
      </c>
      <c r="V63" s="34">
        <f>V61+V49-V54-V51-V59</f>
        <v>-35.33028452749183</v>
      </c>
      <c r="W63" s="34">
        <f>W61+W49-W54-W51-W59</f>
        <v>-35.590834303660465</v>
      </c>
      <c r="X63" s="34">
        <f>X61+X49-X54-X51-X59</f>
        <v>-35.774803609565204</v>
      </c>
      <c r="Y63" s="34">
        <f>Y61+Y49-Y54-Y51-Y59</f>
        <v>-35.87629505988927</v>
      </c>
      <c r="Z63" s="34">
        <f>Z61+Z49-Z54-Z51-Z59</f>
        <v>-35.88892914702608</v>
      </c>
      <c r="AA63" s="34">
        <f>AA61+AA49-AA54-AA51-AA59</f>
        <v>-35.80580118313711</v>
      </c>
      <c r="AB63" s="34">
        <f>AB61+AB49-AB54-AB51-AB59</f>
        <v>-35.61943394965914</v>
      </c>
      <c r="AC63" s="34">
        <f>AC61+AC49-AC54-AC51-AC59</f>
        <v>-35.32172557610385</v>
      </c>
      <c r="AD63" s="34">
        <f>AD61+AD49-AD54-AD51-AD59</f>
        <v>-34.903892111682076</v>
      </c>
      <c r="AE63" s="34">
        <f>AE61+AE49-AE54-AE51-AE59</f>
        <v>-34.35640418740306</v>
      </c>
      <c r="AF63" s="34">
        <f>AF61+AF49-AF54-AF51-AF59</f>
        <v>-51.01350469722189</v>
      </c>
      <c r="AG63" s="34">
        <f>AG61+AG49-AG54-AG51-AG59</f>
        <v>-23.93893865706799</v>
      </c>
      <c r="AH63" s="34">
        <f>AH61+AH49-AH54-AH51-AH59</f>
        <v>-22.064143080983957</v>
      </c>
      <c r="AI63" s="34">
        <f>AI61+AI49-AI54-AI51-AI59</f>
        <v>-20.587209817781186</v>
      </c>
      <c r="AJ63" s="34">
        <f>AJ61+AJ49-AJ54-AJ51-AJ59</f>
        <v>-18.956932819932504</v>
      </c>
      <c r="AK63" s="34">
        <f>AK61+AK49-AK54-AK51-AK59</f>
        <v>-17.164371451109826</v>
      </c>
      <c r="AL63" s="34">
        <f>AL61+AL49-AL54-AL51-AL59</f>
        <v>-15.200062610459709</v>
      </c>
      <c r="AM63" s="34">
        <f>AM61+AM49-AM54-AM51-AM59</f>
        <v>-17.609190117725223</v>
      </c>
      <c r="AN63" s="34">
        <f>AN61+AN49-AN54-AN51-AN59</f>
        <v>-12.331952298542465</v>
      </c>
      <c r="AO63" s="34">
        <f>AO61+AO49-AO54-AO51-AO59</f>
        <v>-9.789927663681752</v>
      </c>
      <c r="AP63" s="34">
        <f>AP61+AP49-AP54-AP51-AP59</f>
        <v>-7.032438569728925</v>
      </c>
      <c r="AQ63" s="34">
        <f>AQ61+AQ49-AQ54-AQ51-AQ59</f>
        <v>-4.046912741991451</v>
      </c>
      <c r="AR63" s="34">
        <f>AR61+AR49-AR54-AR51-AR59</f>
        <v>-22.76703071273549</v>
      </c>
      <c r="AS63" s="34">
        <f>AS61+AS49-AS54-AS51-AS59</f>
        <v>6.716250785530502</v>
      </c>
      <c r="AT63" s="34">
        <f>AT61+AT49-AT54-AT51-AT59</f>
        <v>10.797467865246343</v>
      </c>
      <c r="AU63" s="34">
        <f>AU61+AU49-AU54-AU51-AU59</f>
        <v>12.512511725434223</v>
      </c>
      <c r="AV63" s="34">
        <f>AV61+AV49-AV54-AV51-AV59</f>
        <v>14.306059659583873</v>
      </c>
      <c r="AW63" s="34">
        <f>AW61+AW49-AW54-AW51-AW59</f>
        <v>16.18017147511267</v>
      </c>
      <c r="AX63" s="34">
        <f>AX61+AX49-AX54-AX51-AX59</f>
        <v>18.136926021942998</v>
      </c>
      <c r="AY63" s="34">
        <f>AY61+AY49-AY54-AY51-AY59</f>
        <v>20.178415035963553</v>
      </c>
      <c r="AZ63" s="34">
        <f>AZ61+AZ49-AZ54-AZ51-AZ59</f>
        <v>22.30673579228588</v>
      </c>
      <c r="BA63" s="34">
        <f>BA61+BA49-BA54-BA51-BA59</f>
        <v>24.52398238722896</v>
      </c>
      <c r="BB63" s="34">
        <f>BB61+BB49-BB54-BB51-BB59</f>
        <v>26.83223544181543</v>
      </c>
      <c r="BC63" s="34">
        <f>BC61+BC49-BC54-BC51-BC59</f>
        <v>29.233549989721418</v>
      </c>
    </row>
    <row r="64">
      <c r="A64" s="3" t="inlineStr">
        <is>
          <t>Closing cash</t>
        </is>
      </c>
      <c r="B64" s="2" t="inlineStr">
        <is>
          <t>₹ lakh</t>
        </is>
      </c>
      <c r="C64" s="35">
        <f>C62+C63</f>
        <v>600.5679207</v>
      </c>
      <c r="D64" s="35">
        <f>D62+D63</f>
        <v>581.087502675</v>
      </c>
      <c r="E64" s="35">
        <f>E62+E63</f>
        <v>558.4957929394</v>
      </c>
      <c r="F64" s="35">
        <f>F62+F63</f>
        <v>533.8887902516</v>
      </c>
      <c r="G64" s="35">
        <f>G62+G63</f>
        <v>507.0002544836</v>
      </c>
      <c r="H64" s="35">
        <f>H62+H63</f>
        <v>477.8139321222628</v>
      </c>
      <c r="I64" s="35">
        <f>I62+I63</f>
        <v>447.99429908799596</v>
      </c>
      <c r="J64" s="35">
        <f>J62+J63</f>
        <v>417.1437698485299</v>
      </c>
      <c r="K64" s="35">
        <f>K62+K63</f>
        <v>385.0139555728574</v>
      </c>
      <c r="L64" s="35">
        <f>L62+L63</f>
        <v>351.62887740515515</v>
      </c>
      <c r="M64" s="35">
        <f>M62+M63</f>
        <v>317.0159371665419</v>
      </c>
      <c r="N64" s="35">
        <f>N62+N63</f>
        <v>281.20639314326365</v>
      </c>
      <c r="O64" s="35">
        <f>O62+O63</f>
        <v>244.2746324361409</v>
      </c>
      <c r="P64" s="35">
        <f>P62+P63</f>
        <v>206.25164849524322</v>
      </c>
      <c r="Q64" s="35">
        <f>Q62+Q63</f>
        <v>167.20364826429955</v>
      </c>
      <c r="R64" s="35">
        <f>R62+R63</f>
        <v>127.17861088256113</v>
      </c>
      <c r="S64" s="35">
        <f>S62+S63</f>
        <v>86.2369164529307</v>
      </c>
      <c r="T64" s="35">
        <f>T62+T63</f>
        <v>22.256236598935786</v>
      </c>
      <c r="U64" s="35">
        <f>U62+U63</f>
        <v>-13.885979621168438</v>
      </c>
      <c r="V64" s="35">
        <f>V62+V63</f>
        <v>-49.216264148660265</v>
      </c>
      <c r="W64" s="35">
        <f>W62+W63</f>
        <v>-84.80709845232073</v>
      </c>
      <c r="X64" s="35">
        <f>X62+X63</f>
        <v>-120.58190206188593</v>
      </c>
      <c r="Y64" s="35">
        <f>Y62+Y63</f>
        <v>-156.45819712177519</v>
      </c>
      <c r="Z64" s="35">
        <f>Z62+Z63</f>
        <v>-192.34712626880128</v>
      </c>
      <c r="AA64" s="35">
        <f>AA62+AA63</f>
        <v>-228.15292745193838</v>
      </c>
      <c r="AB64" s="35">
        <f>AB62+AB63</f>
        <v>-263.77236140159755</v>
      </c>
      <c r="AC64" s="35">
        <f>AC62+AC63</f>
        <v>-299.0940869777014</v>
      </c>
      <c r="AD64" s="35">
        <f>AD62+AD63</f>
        <v>-333.9979790893835</v>
      </c>
      <c r="AE64" s="35">
        <f>AE62+AE63</f>
        <v>-368.3543832767865</v>
      </c>
      <c r="AF64" s="35">
        <f>AF62+AF63</f>
        <v>-419.3678879740084</v>
      </c>
      <c r="AG64" s="35">
        <f>AG62+AG63</f>
        <v>-443.3068266310764</v>
      </c>
      <c r="AH64" s="35">
        <f>AH62+AH63</f>
        <v>-465.37096971206034</v>
      </c>
      <c r="AI64" s="35">
        <f>AI62+AI63</f>
        <v>-485.9581795298415</v>
      </c>
      <c r="AJ64" s="35">
        <f>AJ62+AJ63</f>
        <v>-504.915112349774</v>
      </c>
      <c r="AK64" s="35">
        <f>AK62+AK63</f>
        <v>-522.0794838008838</v>
      </c>
      <c r="AL64" s="35">
        <f>AL62+AL63</f>
        <v>-537.2795464113435</v>
      </c>
      <c r="AM64" s="35">
        <f>AM62+AM63</f>
        <v>-554.8887365290688</v>
      </c>
      <c r="AN64" s="35">
        <f>AN62+AN63</f>
        <v>-567.2206888276112</v>
      </c>
      <c r="AO64" s="35">
        <f>AO62+AO63</f>
        <v>-577.0106164912929</v>
      </c>
      <c r="AP64" s="35">
        <f>AP62+AP63</f>
        <v>-584.0430550610218</v>
      </c>
      <c r="AQ64" s="35">
        <f>AQ62+AQ63</f>
        <v>-588.0899678030133</v>
      </c>
      <c r="AR64" s="35">
        <f>AR62+AR63</f>
        <v>-610.8569985157488</v>
      </c>
      <c r="AS64" s="35">
        <f>AS62+AS63</f>
        <v>-604.1407477302183</v>
      </c>
      <c r="AT64" s="35">
        <f>AT62+AT63</f>
        <v>-593.343279864972</v>
      </c>
      <c r="AU64" s="35">
        <f>AU62+AU63</f>
        <v>-580.8307681395378</v>
      </c>
      <c r="AV64" s="35">
        <f>AV62+AV63</f>
        <v>-566.5247084799539</v>
      </c>
      <c r="AW64" s="35">
        <f>AW62+AW63</f>
        <v>-550.3445370048413</v>
      </c>
      <c r="AX64" s="35">
        <f>AX62+AX63</f>
        <v>-532.2076109828984</v>
      </c>
      <c r="AY64" s="35">
        <f>AY62+AY63</f>
        <v>-512.0291959469348</v>
      </c>
      <c r="AZ64" s="35">
        <f>AZ62+AZ63</f>
        <v>-489.7224601546489</v>
      </c>
      <c r="BA64" s="35">
        <f>BA62+BA63</f>
        <v>-465.19847776741994</v>
      </c>
      <c r="BB64" s="35">
        <f>BB62+BB63</f>
        <v>-438.3662423256045</v>
      </c>
      <c r="BC64" s="35">
        <f>BC62+BC63</f>
        <v>-409.13269233588306</v>
      </c>
    </row>
    <row r="65">
      <c r="A65" s="4" t="inlineStr">
        <is>
          <t>Operating burn (before tax; + = burning)</t>
        </is>
      </c>
      <c r="B65" s="2" t="inlineStr">
        <is>
          <t>₹ lakh</t>
        </is>
      </c>
      <c r="C65" s="34">
        <f>-(C49-C51-C59)</f>
        <v>19.432079299999998</v>
      </c>
      <c r="D65" s="34">
        <f>-(D49-D51-D59)</f>
        <v>19.480418025</v>
      </c>
      <c r="E65" s="34">
        <f>-(E49-E51-E59)</f>
        <v>22.591709735600002</v>
      </c>
      <c r="F65" s="34">
        <f>-(F49-F51-F59)</f>
        <v>24.607002687799998</v>
      </c>
      <c r="G65" s="34">
        <f>-(G49-G51-G59)</f>
        <v>26.888535767999997</v>
      </c>
      <c r="H65" s="34">
        <f>-(H49-H51-H59)</f>
        <v>29.186322361337155</v>
      </c>
      <c r="I65" s="34">
        <f>-(I49-I51-I59)</f>
        <v>29.81963303426688</v>
      </c>
      <c r="J65" s="34">
        <f>-(J49-J51-J59)</f>
        <v>30.85052923946605</v>
      </c>
      <c r="K65" s="34">
        <f>-(K49-K51-K59)</f>
        <v>32.129814275672494</v>
      </c>
      <c r="L65" s="34">
        <f>-(L49-L51-L59)</f>
        <v>33.385078167702254</v>
      </c>
      <c r="M65" s="34">
        <f>-(M49-M51-M59)</f>
        <v>34.612940238613234</v>
      </c>
      <c r="N65" s="34">
        <f>-(N49-N51-N59)</f>
        <v>35.80954402327827</v>
      </c>
      <c r="O65" s="34">
        <f>-(O49-O51-O59)</f>
        <v>36.93176070712276</v>
      </c>
      <c r="P65" s="34">
        <f>-(P49-P51-P59)</f>
        <v>38.0229839408977</v>
      </c>
      <c r="Q65" s="34">
        <f>-(Q49-Q51-Q59)</f>
        <v>39.048000230943664</v>
      </c>
      <c r="R65" s="34">
        <f>-(R49-R51-R59)</f>
        <v>40.025037381738414</v>
      </c>
      <c r="S65" s="34">
        <f>-(S49-S51-S59)</f>
        <v>40.94169442963043</v>
      </c>
      <c r="T65" s="34">
        <f>-(T49-T51-T59)</f>
        <v>63.980679853994914</v>
      </c>
      <c r="U65" s="34">
        <f>-(U49-U51-U59)</f>
        <v>36.142216220104224</v>
      </c>
      <c r="V65" s="34">
        <f>-(V49-V51-V59)</f>
        <v>35.33028452749183</v>
      </c>
      <c r="W65" s="34">
        <f>-(W49-W51-W59)</f>
        <v>35.590834303660465</v>
      </c>
      <c r="X65" s="34">
        <f>-(X49-X51-X59)</f>
        <v>35.774803609565204</v>
      </c>
      <c r="Y65" s="34">
        <f>-(Y49-Y51-Y59)</f>
        <v>35.87629505988927</v>
      </c>
      <c r="Z65" s="34">
        <f>-(Z49-Z51-Z59)</f>
        <v>35.88892914702608</v>
      </c>
      <c r="AA65" s="34">
        <f>-(AA49-AA51-AA59)</f>
        <v>35.80580118313711</v>
      </c>
      <c r="AB65" s="34">
        <f>-(AB49-AB51-AB59)</f>
        <v>35.61943394965914</v>
      </c>
      <c r="AC65" s="34">
        <f>-(AC49-AC51-AC59)</f>
        <v>35.32172557610385</v>
      </c>
      <c r="AD65" s="34">
        <f>-(AD49-AD51-AD59)</f>
        <v>34.903892111682076</v>
      </c>
      <c r="AE65" s="34">
        <f>-(AE49-AE51-AE59)</f>
        <v>34.35640418740306</v>
      </c>
      <c r="AF65" s="34">
        <f>-(AF49-AF51-AF59)</f>
        <v>51.01350469722189</v>
      </c>
      <c r="AG65" s="34">
        <f>-(AG49-AG51-AG59)</f>
        <v>23.93893865706799</v>
      </c>
      <c r="AH65" s="34">
        <f>-(AH49-AH51-AH59)</f>
        <v>22.064143080983957</v>
      </c>
      <c r="AI65" s="34">
        <f>-(AI49-AI51-AI59)</f>
        <v>20.587209817781186</v>
      </c>
      <c r="AJ65" s="34">
        <f>-(AJ49-AJ51-AJ59)</f>
        <v>18.956932819932504</v>
      </c>
      <c r="AK65" s="34">
        <f>-(AK49-AK51-AK59)</f>
        <v>17.164371451109826</v>
      </c>
      <c r="AL65" s="34">
        <f>-(AL49-AL51-AL59)</f>
        <v>15.200062610459709</v>
      </c>
      <c r="AM65" s="34">
        <f>-(AM49-AM51-AM59)</f>
        <v>17.609190117725223</v>
      </c>
      <c r="AN65" s="34">
        <f>-(AN49-AN51-AN59)</f>
        <v>12.331952298542465</v>
      </c>
      <c r="AO65" s="34">
        <f>-(AO49-AO51-AO59)</f>
        <v>9.789927663681752</v>
      </c>
      <c r="AP65" s="34">
        <f>-(AP49-AP51-AP59)</f>
        <v>7.032438569728925</v>
      </c>
      <c r="AQ65" s="34">
        <f>-(AQ49-AQ51-AQ59)</f>
        <v>4.046912741991451</v>
      </c>
      <c r="AR65" s="34">
        <f>-(AR49-AR51-AR59)</f>
        <v>22.76703071273549</v>
      </c>
      <c r="AS65" s="34">
        <f>-(AS49-AS51-AS59)</f>
        <v>-6.716250785530502</v>
      </c>
      <c r="AT65" s="34">
        <f>-(AT49-AT51-AT59)</f>
        <v>-10.797467865246343</v>
      </c>
      <c r="AU65" s="34">
        <f>-(AU49-AU51-AU59)</f>
        <v>-12.512511725434223</v>
      </c>
      <c r="AV65" s="34">
        <f>-(AV49-AV51-AV59)</f>
        <v>-14.306059659583873</v>
      </c>
      <c r="AW65" s="34">
        <f>-(AW49-AW51-AW59)</f>
        <v>-16.18017147511267</v>
      </c>
      <c r="AX65" s="34">
        <f>-(AX49-AX51-AX59)</f>
        <v>-18.136926021942998</v>
      </c>
      <c r="AY65" s="34">
        <f>-(AY49-AY51-AY59)</f>
        <v>-20.178415035963553</v>
      </c>
      <c r="AZ65" s="34">
        <f>-(AZ49-AZ51-AZ59)</f>
        <v>-22.30673579228588</v>
      </c>
      <c r="BA65" s="34">
        <f>-(BA49-BA51-BA59)</f>
        <v>-24.52398238722896</v>
      </c>
      <c r="BB65" s="34">
        <f>-(BB49-BB51-BB59)</f>
        <v>-26.83223544181543</v>
      </c>
      <c r="BC65" s="34">
        <f>-(BC49-BC51-BC59)</f>
        <v>-29.233549989721418</v>
      </c>
    </row>
    <row r="66">
      <c r="A66" s="4" t="inlineStr">
        <is>
          <t>Helper: last month with EBITDA ≤ 0</t>
        </is>
      </c>
      <c r="B66" s="2" t="inlineStr">
        <is>
          <t>month number</t>
        </is>
      </c>
      <c r="C66" s="31">
        <f>IF(C49&lt;=0,C8,0)</f>
        <v>1.0</v>
      </c>
      <c r="D66" s="31">
        <f>IF(D49&lt;=0,D8,C66)</f>
        <v>2.0</v>
      </c>
      <c r="E66" s="31">
        <f>IF(E49&lt;=0,E8,D66)</f>
        <v>3.0</v>
      </c>
      <c r="F66" s="31">
        <f>IF(F49&lt;=0,F8,E66)</f>
        <v>4.0</v>
      </c>
      <c r="G66" s="31">
        <f>IF(G49&lt;=0,G8,F66)</f>
        <v>5.0</v>
      </c>
      <c r="H66" s="31">
        <f>IF(H49&lt;=0,H8,G66)</f>
        <v>6.0</v>
      </c>
      <c r="I66" s="31">
        <f>IF(I49&lt;=0,I8,H66)</f>
        <v>7.0</v>
      </c>
      <c r="J66" s="31">
        <f>IF(J49&lt;=0,J8,I66)</f>
        <v>8.0</v>
      </c>
      <c r="K66" s="31">
        <f>IF(K49&lt;=0,K8,J66)</f>
        <v>9.0</v>
      </c>
      <c r="L66" s="31">
        <f>IF(L49&lt;=0,L8,K66)</f>
        <v>10.0</v>
      </c>
      <c r="M66" s="31">
        <f>IF(M49&lt;=0,M8,L66)</f>
        <v>11.0</v>
      </c>
      <c r="N66" s="31">
        <f>IF(N49&lt;=0,N8,M66)</f>
        <v>12.0</v>
      </c>
      <c r="O66" s="31">
        <f>IF(O49&lt;=0,O8,N66)</f>
        <v>13.0</v>
      </c>
      <c r="P66" s="31">
        <f>IF(P49&lt;=0,P8,O66)</f>
        <v>14.0</v>
      </c>
      <c r="Q66" s="31">
        <f>IF(Q49&lt;=0,Q8,P66)</f>
        <v>15.0</v>
      </c>
      <c r="R66" s="31">
        <f>IF(R49&lt;=0,R8,Q66)</f>
        <v>16.0</v>
      </c>
      <c r="S66" s="31">
        <f>IF(S49&lt;=0,S8,R66)</f>
        <v>17.0</v>
      </c>
      <c r="T66" s="31">
        <f>IF(T49&lt;=0,T8,S66)</f>
        <v>18.0</v>
      </c>
      <c r="U66" s="31">
        <f>IF(U49&lt;=0,U8,T66)</f>
        <v>19.0</v>
      </c>
      <c r="V66" s="31">
        <f>IF(V49&lt;=0,V8,U66)</f>
        <v>20.0</v>
      </c>
      <c r="W66" s="31">
        <f>IF(W49&lt;=0,W8,V66)</f>
        <v>21.0</v>
      </c>
      <c r="X66" s="31">
        <f>IF(X49&lt;=0,X8,W66)</f>
        <v>22.0</v>
      </c>
      <c r="Y66" s="31">
        <f>IF(Y49&lt;=0,Y8,X66)</f>
        <v>23.0</v>
      </c>
      <c r="Z66" s="31">
        <f>IF(Z49&lt;=0,Z8,Y66)</f>
        <v>24.0</v>
      </c>
      <c r="AA66" s="31">
        <f>IF(AA49&lt;=0,AA8,Z66)</f>
        <v>25.0</v>
      </c>
      <c r="AB66" s="31">
        <f>IF(AB49&lt;=0,AB8,AA66)</f>
        <v>26.0</v>
      </c>
      <c r="AC66" s="31">
        <f>IF(AC49&lt;=0,AC8,AB66)</f>
        <v>27.0</v>
      </c>
      <c r="AD66" s="31">
        <f>IF(AD49&lt;=0,AD8,AC66)</f>
        <v>28.0</v>
      </c>
      <c r="AE66" s="31">
        <f>IF(AE49&lt;=0,AE8,AD66)</f>
        <v>29.0</v>
      </c>
      <c r="AF66" s="31">
        <f>IF(AF49&lt;=0,AF8,AE66)</f>
        <v>30.0</v>
      </c>
      <c r="AG66" s="31">
        <f>IF(AG49&lt;=0,AG8,AF66)</f>
        <v>31.0</v>
      </c>
      <c r="AH66" s="31">
        <f>IF(AH49&lt;=0,AH8,AG66)</f>
        <v>32.0</v>
      </c>
      <c r="AI66" s="31">
        <f>IF(AI49&lt;=0,AI8,AH66)</f>
        <v>33.0</v>
      </c>
      <c r="AJ66" s="31">
        <f>IF(AJ49&lt;=0,AJ8,AI66)</f>
        <v>34.0</v>
      </c>
      <c r="AK66" s="31">
        <f>IF(AK49&lt;=0,AK8,AJ66)</f>
        <v>35.0</v>
      </c>
      <c r="AL66" s="31">
        <f>IF(AL49&lt;=0,AL8,AK66)</f>
        <v>36.0</v>
      </c>
      <c r="AM66" s="31">
        <f>IF(AM49&lt;=0,AM8,AL66)</f>
        <v>37.0</v>
      </c>
      <c r="AN66" s="31">
        <f>IF(AN49&lt;=0,AN8,AM66)</f>
        <v>38.0</v>
      </c>
      <c r="AO66" s="31">
        <f>IF(AO49&lt;=0,AO8,AN66)</f>
        <v>38.0</v>
      </c>
      <c r="AP66" s="31">
        <f>IF(AP49&lt;=0,AP8,AO66)</f>
        <v>38.0</v>
      </c>
      <c r="AQ66" s="31">
        <f>IF(AQ49&lt;=0,AQ8,AP66)</f>
        <v>38.0</v>
      </c>
      <c r="AR66" s="31">
        <f>IF(AR49&lt;=0,AR8,AQ66)</f>
        <v>38.0</v>
      </c>
      <c r="AS66" s="31">
        <f>IF(AS49&lt;=0,AS8,AR66)</f>
        <v>38.0</v>
      </c>
      <c r="AT66" s="31">
        <f>IF(AT49&lt;=0,AT8,AS66)</f>
        <v>38.0</v>
      </c>
      <c r="AU66" s="31">
        <f>IF(AU49&lt;=0,AU8,AT66)</f>
        <v>38.0</v>
      </c>
      <c r="AV66" s="31">
        <f>IF(AV49&lt;=0,AV8,AU66)</f>
        <v>38.0</v>
      </c>
      <c r="AW66" s="31">
        <f>IF(AW49&lt;=0,AW8,AV66)</f>
        <v>38.0</v>
      </c>
      <c r="AX66" s="31">
        <f>IF(AX49&lt;=0,AX8,AW66)</f>
        <v>38.0</v>
      </c>
      <c r="AY66" s="31">
        <f>IF(AY49&lt;=0,AY8,AX66)</f>
        <v>38.0</v>
      </c>
      <c r="AZ66" s="31">
        <f>IF(AZ49&lt;=0,AZ8,AY66)</f>
        <v>38.0</v>
      </c>
      <c r="BA66" s="31">
        <f>IF(BA49&lt;=0,BA8,AZ66)</f>
        <v>38.0</v>
      </c>
      <c r="BB66" s="31">
        <f>IF(BB49&lt;=0,BB8,BA66)</f>
        <v>38.0</v>
      </c>
      <c r="BC66" s="31">
        <f>IF(BC49&lt;=0,BC8,BB66)</f>
        <v>38.0</v>
      </c>
    </row>
    <row r="67">
      <c r="A67" s="4" t="inlineStr">
        <is>
          <t>Helper: first month with cash below zero</t>
        </is>
      </c>
      <c r="B67" s="2" t="inlineStr">
        <is>
          <t>month number</t>
        </is>
      </c>
      <c r="C67" s="31">
        <f>IF(C64&lt;0,C8,0)</f>
        <v>0.0</v>
      </c>
      <c r="D67" s="31">
        <f>IF(C67&gt;0,C67,IF(D64&lt;0,D8,0))</f>
        <v>0.0</v>
      </c>
      <c r="E67" s="31">
        <f>IF(D67&gt;0,D67,IF(E64&lt;0,E8,0))</f>
        <v>0.0</v>
      </c>
      <c r="F67" s="31">
        <f>IF(E67&gt;0,E67,IF(F64&lt;0,F8,0))</f>
        <v>0.0</v>
      </c>
      <c r="G67" s="31">
        <f>IF(F67&gt;0,F67,IF(G64&lt;0,G8,0))</f>
        <v>0.0</v>
      </c>
      <c r="H67" s="31">
        <f>IF(G67&gt;0,G67,IF(H64&lt;0,H8,0))</f>
        <v>0.0</v>
      </c>
      <c r="I67" s="31">
        <f>IF(H67&gt;0,H67,IF(I64&lt;0,I8,0))</f>
        <v>0.0</v>
      </c>
      <c r="J67" s="31">
        <f>IF(I67&gt;0,I67,IF(J64&lt;0,J8,0))</f>
        <v>0.0</v>
      </c>
      <c r="K67" s="31">
        <f>IF(J67&gt;0,J67,IF(K64&lt;0,K8,0))</f>
        <v>0.0</v>
      </c>
      <c r="L67" s="31">
        <f>IF(K67&gt;0,K67,IF(L64&lt;0,L8,0))</f>
        <v>0.0</v>
      </c>
      <c r="M67" s="31">
        <f>IF(L67&gt;0,L67,IF(M64&lt;0,M8,0))</f>
        <v>0.0</v>
      </c>
      <c r="N67" s="31">
        <f>IF(M67&gt;0,M67,IF(N64&lt;0,N8,0))</f>
        <v>0.0</v>
      </c>
      <c r="O67" s="31">
        <f>IF(N67&gt;0,N67,IF(O64&lt;0,O8,0))</f>
        <v>0.0</v>
      </c>
      <c r="P67" s="31">
        <f>IF(O67&gt;0,O67,IF(P64&lt;0,P8,0))</f>
        <v>0.0</v>
      </c>
      <c r="Q67" s="31">
        <f>IF(P67&gt;0,P67,IF(Q64&lt;0,Q8,0))</f>
        <v>0.0</v>
      </c>
      <c r="R67" s="31">
        <f>IF(Q67&gt;0,Q67,IF(R64&lt;0,R8,0))</f>
        <v>0.0</v>
      </c>
      <c r="S67" s="31">
        <f>IF(R67&gt;0,R67,IF(S64&lt;0,S8,0))</f>
        <v>0.0</v>
      </c>
      <c r="T67" s="31">
        <f>IF(S67&gt;0,S67,IF(T64&lt;0,T8,0))</f>
        <v>0.0</v>
      </c>
      <c r="U67" s="31">
        <f>IF(T67&gt;0,T67,IF(U64&lt;0,U8,0))</f>
        <v>19.0</v>
      </c>
      <c r="V67" s="31">
        <f>IF(U67&gt;0,U67,IF(V64&lt;0,V8,0))</f>
        <v>19.0</v>
      </c>
      <c r="W67" s="31">
        <f>IF(V67&gt;0,V67,IF(W64&lt;0,W8,0))</f>
        <v>19.0</v>
      </c>
      <c r="X67" s="31">
        <f>IF(W67&gt;0,W67,IF(X64&lt;0,X8,0))</f>
        <v>19.0</v>
      </c>
      <c r="Y67" s="31">
        <f>IF(X67&gt;0,X67,IF(Y64&lt;0,Y8,0))</f>
        <v>19.0</v>
      </c>
      <c r="Z67" s="31">
        <f>IF(Y67&gt;0,Y67,IF(Z64&lt;0,Z8,0))</f>
        <v>19.0</v>
      </c>
      <c r="AA67" s="31">
        <f>IF(Z67&gt;0,Z67,IF(AA64&lt;0,AA8,0))</f>
        <v>19.0</v>
      </c>
      <c r="AB67" s="31">
        <f>IF(AA67&gt;0,AA67,IF(AB64&lt;0,AB8,0))</f>
        <v>19.0</v>
      </c>
      <c r="AC67" s="31">
        <f>IF(AB67&gt;0,AB67,IF(AC64&lt;0,AC8,0))</f>
        <v>19.0</v>
      </c>
      <c r="AD67" s="31">
        <f>IF(AC67&gt;0,AC67,IF(AD64&lt;0,AD8,0))</f>
        <v>19.0</v>
      </c>
      <c r="AE67" s="31">
        <f>IF(AD67&gt;0,AD67,IF(AE64&lt;0,AE8,0))</f>
        <v>19.0</v>
      </c>
      <c r="AF67" s="31">
        <f>IF(AE67&gt;0,AE67,IF(AF64&lt;0,AF8,0))</f>
        <v>19.0</v>
      </c>
      <c r="AG67" s="31">
        <f>IF(AF67&gt;0,AF67,IF(AG64&lt;0,AG8,0))</f>
        <v>19.0</v>
      </c>
      <c r="AH67" s="31">
        <f>IF(AG67&gt;0,AG67,IF(AH64&lt;0,AH8,0))</f>
        <v>19.0</v>
      </c>
      <c r="AI67" s="31">
        <f>IF(AH67&gt;0,AH67,IF(AI64&lt;0,AI8,0))</f>
        <v>19.0</v>
      </c>
      <c r="AJ67" s="31">
        <f>IF(AI67&gt;0,AI67,IF(AJ64&lt;0,AJ8,0))</f>
        <v>19.0</v>
      </c>
      <c r="AK67" s="31">
        <f>IF(AJ67&gt;0,AJ67,IF(AK64&lt;0,AK8,0))</f>
        <v>19.0</v>
      </c>
      <c r="AL67" s="31">
        <f>IF(AK67&gt;0,AK67,IF(AL64&lt;0,AL8,0))</f>
        <v>19.0</v>
      </c>
      <c r="AM67" s="31">
        <f>IF(AL67&gt;0,AL67,IF(AM64&lt;0,AM8,0))</f>
        <v>19.0</v>
      </c>
      <c r="AN67" s="31">
        <f>IF(AM67&gt;0,AM67,IF(AN64&lt;0,AN8,0))</f>
        <v>19.0</v>
      </c>
      <c r="AO67" s="31">
        <f>IF(AN67&gt;0,AN67,IF(AO64&lt;0,AO8,0))</f>
        <v>19.0</v>
      </c>
      <c r="AP67" s="31">
        <f>IF(AO67&gt;0,AO67,IF(AP64&lt;0,AP8,0))</f>
        <v>19.0</v>
      </c>
      <c r="AQ67" s="31">
        <f>IF(AP67&gt;0,AP67,IF(AQ64&lt;0,AQ8,0))</f>
        <v>19.0</v>
      </c>
      <c r="AR67" s="31">
        <f>IF(AQ67&gt;0,AQ67,IF(AR64&lt;0,AR8,0))</f>
        <v>19.0</v>
      </c>
      <c r="AS67" s="31">
        <f>IF(AR67&gt;0,AR67,IF(AS64&lt;0,AS8,0))</f>
        <v>19.0</v>
      </c>
      <c r="AT67" s="31">
        <f>IF(AS67&gt;0,AS67,IF(AT64&lt;0,AT8,0))</f>
        <v>19.0</v>
      </c>
      <c r="AU67" s="31">
        <f>IF(AT67&gt;0,AT67,IF(AU64&lt;0,AU8,0))</f>
        <v>19.0</v>
      </c>
      <c r="AV67" s="31">
        <f>IF(AU67&gt;0,AU67,IF(AV64&lt;0,AV8,0))</f>
        <v>19.0</v>
      </c>
      <c r="AW67" s="31">
        <f>IF(AV67&gt;0,AV67,IF(AW64&lt;0,AW8,0))</f>
        <v>19.0</v>
      </c>
      <c r="AX67" s="31">
        <f>IF(AW67&gt;0,AW67,IF(AX64&lt;0,AX8,0))</f>
        <v>19.0</v>
      </c>
      <c r="AY67" s="31">
        <f>IF(AX67&gt;0,AX67,IF(AY64&lt;0,AY8,0))</f>
        <v>19.0</v>
      </c>
      <c r="AZ67" s="31">
        <f>IF(AY67&gt;0,AY67,IF(AZ64&lt;0,AZ8,0))</f>
        <v>19.0</v>
      </c>
      <c r="BA67" s="31">
        <f>IF(AZ67&gt;0,AZ67,IF(BA64&lt;0,BA8,0))</f>
        <v>19.0</v>
      </c>
      <c r="BB67" s="31">
        <f>IF(BA67&gt;0,BA67,IF(BB64&lt;0,BB8,0))</f>
        <v>19.0</v>
      </c>
      <c r="BC67" s="31">
        <f>IF(BB67&gt;0,BB67,IF(BC64&lt;0,BC8,0))</f>
        <v>19.0</v>
      </c>
    </row>
    <row r="70">
      <c r="A70" s="11" t="inlineStr">
        <is>
          <t>Annual totals (₹ lakh)</t>
        </is>
      </c>
      <c r="B70" s="11" t="inlineStr">
        <is>
          <t>Unit / note</t>
        </is>
      </c>
      <c r="C70" s="12" t="inlineStr">
        <is>
          <t>FY27*</t>
        </is>
      </c>
      <c r="D70" s="12" t="inlineStr">
        <is>
          <t>FY28</t>
        </is>
      </c>
      <c r="E70" s="12" t="inlineStr">
        <is>
          <t>FY29</t>
        </is>
      </c>
      <c r="F70" s="12" t="inlineStr">
        <is>
          <t>FY30</t>
        </is>
      </c>
      <c r="G70" s="12" t="inlineStr">
        <is>
          <t>FY31</t>
        </is>
      </c>
    </row>
    <row r="71">
      <c r="A71" s="4" t="inlineStr">
        <is>
          <t>Roof Reports</t>
        </is>
      </c>
      <c r="C71" s="32">
        <f>SUM(C10:G10)</f>
        <v>28000.0</v>
      </c>
      <c r="D71" s="32">
        <f>SUM(H10:S10)</f>
        <v>280000.0000000003</v>
      </c>
      <c r="E71" s="32">
        <f>SUM(T10:AE10)</f>
        <v>840000.0</v>
      </c>
      <c r="F71" s="32">
        <f>SUM(AF10:AQ10)</f>
        <v>1749999.9999999981</v>
      </c>
      <c r="G71" s="32">
        <f>SUM(AR10:BC10)</f>
        <v>2799999.999999997</v>
      </c>
    </row>
    <row r="72">
      <c r="A72" s="4" t="inlineStr">
        <is>
          <t>Verified leads</t>
        </is>
      </c>
      <c r="C72" s="32">
        <f>SUM(C11:G11)</f>
        <v>1960.0000000000002</v>
      </c>
      <c r="D72" s="32">
        <f>SUM(H11:S11)</f>
        <v>19600.000000000022</v>
      </c>
      <c r="E72" s="32">
        <f>SUM(T11:AE11)</f>
        <v>58800.00000000001</v>
      </c>
      <c r="F72" s="32">
        <f>SUM(AF11:AQ11)</f>
        <v>122499.9999999999</v>
      </c>
      <c r="G72" s="32">
        <f>SUM(AR11:BC11)</f>
        <v>195999.9999999998</v>
      </c>
    </row>
    <row r="73">
      <c r="A73" s="4" t="inlineStr">
        <is>
          <t>Installed homes</t>
        </is>
      </c>
      <c r="C73" s="32">
        <f>SUM(C12:G12)</f>
        <v>139.94400000000002</v>
      </c>
      <c r="D73" s="32">
        <f>SUM(H12:S12)</f>
        <v>2553.7141687152343</v>
      </c>
      <c r="E73" s="32">
        <f>SUM(T12:AE12)</f>
        <v>8680.65273959508</v>
      </c>
      <c r="F73" s="32">
        <f>SUM(AF12:AQ12)</f>
        <v>18600.390178170193</v>
      </c>
      <c r="G73" s="32">
        <f>SUM(AR12:BC12)</f>
        <v>31501.2785330317</v>
      </c>
    </row>
    <row r="74">
      <c r="A74" s="4" t="inlineStr">
        <is>
          <t>Lead fees</t>
        </is>
      </c>
      <c r="C74" s="34">
        <f>SUM(C15:G15)</f>
        <v>24.206000000000003</v>
      </c>
      <c r="D74" s="34">
        <f>SUM(H15:S15)</f>
        <v>242.06000000000026</v>
      </c>
      <c r="E74" s="34">
        <f>SUM(T15:AE15)</f>
        <v>726.1800000000001</v>
      </c>
      <c r="F74" s="34">
        <f>SUM(AF15:AQ15)</f>
        <v>1512.8749999999989</v>
      </c>
      <c r="G74" s="34">
        <f>SUM(AR15:BC15)</f>
        <v>2420.5999999999976</v>
      </c>
    </row>
    <row r="75">
      <c r="A75" s="4" t="inlineStr">
        <is>
          <t>Success fees</t>
        </is>
      </c>
      <c r="C75" s="34">
        <f>SUM(C16:G16)</f>
        <v>4.415513088000001</v>
      </c>
      <c r="D75" s="34">
        <f>SUM(H16:S16)</f>
        <v>79.18556894352199</v>
      </c>
      <c r="E75" s="34">
        <f>SUM(T16:AE16)</f>
        <v>264.44740505902456</v>
      </c>
      <c r="F75" s="34">
        <f>SUM(AF16:AQ16)</f>
        <v>556.5236741308522</v>
      </c>
      <c r="G75" s="34">
        <f>SUM(AR16:BC16)</f>
        <v>925.3815581863392</v>
      </c>
    </row>
    <row r="76">
      <c r="A76" s="4" t="inlineStr">
        <is>
          <t>Loan origination</t>
        </is>
      </c>
      <c r="C76" s="34">
        <f>SUM(C17:G17)</f>
        <v>0.7836864000000001</v>
      </c>
      <c r="D76" s="34">
        <f>SUM(H17:S17)</f>
        <v>14.300799344805311</v>
      </c>
      <c r="E76" s="34">
        <f>SUM(T17:AE17)</f>
        <v>48.61165534173245</v>
      </c>
      <c r="F76" s="34">
        <f>SUM(AF17:AQ17)</f>
        <v>104.16218499775309</v>
      </c>
      <c r="G76" s="34">
        <f>SUM(AR17:BC17)</f>
        <v>176.4071597849775</v>
      </c>
    </row>
    <row r="77">
      <c r="A77" s="4" t="inlineStr">
        <is>
          <t>Installer SaaS</t>
        </is>
      </c>
      <c r="C77" s="34">
        <f>SUM(C19:G19)</f>
        <v>2.24925</v>
      </c>
      <c r="D77" s="34">
        <f>SUM(H19:S19)</f>
        <v>64.7784</v>
      </c>
      <c r="E77" s="34">
        <f>SUM(T19:AE19)</f>
        <v>194.3352</v>
      </c>
      <c r="F77" s="34">
        <f>SUM(AF19:AQ19)</f>
        <v>345.48479999999995</v>
      </c>
      <c r="G77" s="34">
        <f>SUM(AR19:BC19)</f>
        <v>539.8199999999999</v>
      </c>
    </row>
    <row r="78">
      <c r="A78" s="4" t="inlineStr">
        <is>
          <t>State / DISCOM analytics</t>
        </is>
      </c>
      <c r="C78" s="34">
        <f>SUM(C20:G20)</f>
        <v>0.0</v>
      </c>
      <c r="D78" s="34">
        <f>SUM(H20:S20)</f>
        <v>0.0</v>
      </c>
      <c r="E78" s="34">
        <f>SUM(T20:AE20)</f>
        <v>80.00000000000001</v>
      </c>
      <c r="F78" s="34">
        <f>SUM(AF20:AQ20)</f>
        <v>160.00000000000003</v>
      </c>
      <c r="G78" s="34">
        <f>SUM(AR20:BC20)</f>
        <v>240.0</v>
      </c>
    </row>
    <row r="79">
      <c r="A79" s="3" t="inlineStr">
        <is>
          <t>Total revenue</t>
        </is>
      </c>
      <c r="C79" s="35">
        <f>SUM(C21:G21)</f>
        <v>31.654449488000004</v>
      </c>
      <c r="D79" s="35">
        <f>SUM(H21:S21)</f>
        <v>400.3247682883275</v>
      </c>
      <c r="E79" s="35">
        <f>SUM(T21:AE21)</f>
        <v>1313.574260400757</v>
      </c>
      <c r="F79" s="35">
        <f>SUM(AF21:AQ21)</f>
        <v>2679.045659128604</v>
      </c>
      <c r="G79" s="35">
        <f>SUM(AR21:BC21)</f>
        <v>4302.208717971314</v>
      </c>
    </row>
    <row r="80">
      <c r="A80" s="4" t="inlineStr">
        <is>
          <t>Customer acquisition</t>
        </is>
      </c>
      <c r="C80" s="34">
        <f>SUM(C23:G23)</f>
        <v>30.799999999999997</v>
      </c>
      <c r="D80" s="34">
        <f>SUM(H23:S23)</f>
        <v>261.8000000000003</v>
      </c>
      <c r="E80" s="34">
        <f>SUM(T23:AE23)</f>
        <v>693.0</v>
      </c>
      <c r="F80" s="34">
        <f>SUM(AF23:AQ23)</f>
        <v>1251.2499999999989</v>
      </c>
      <c r="G80" s="34">
        <f>SUM(AR23:BC23)</f>
        <v>1847.999999999998</v>
      </c>
    </row>
    <row r="81">
      <c r="A81" s="4" t="inlineStr">
        <is>
          <t>AI + infrastructure</t>
        </is>
      </c>
      <c r="C81" s="34">
        <f>SUM(C24:G24)</f>
        <v>1.36119375</v>
      </c>
      <c r="D81" s="34">
        <f>SUM(H24:S24)</f>
        <v>4.8507287500000045</v>
      </c>
      <c r="E81" s="34">
        <f>SUM(T24:AE24)</f>
        <v>14.552186249999997</v>
      </c>
      <c r="F81" s="34">
        <f>SUM(AF24:AQ24)</f>
        <v>30.317054687499965</v>
      </c>
      <c r="G81" s="34">
        <f>SUM(AR24:BC24)</f>
        <v>48.50728749999995</v>
      </c>
    </row>
    <row r="82">
      <c r="A82" s="4" t="inlineStr">
        <is>
          <t>Payments + partner ops</t>
        </is>
      </c>
      <c r="C82" s="34">
        <f>SUM(C25:G25)</f>
        <v>0.9496334846400001</v>
      </c>
      <c r="D82" s="34">
        <f>SUM(H25:S25)</f>
        <v>12.009743048649826</v>
      </c>
      <c r="E82" s="34">
        <f>SUM(T25:AE25)</f>
        <v>39.40722781202271</v>
      </c>
      <c r="F82" s="34">
        <f>SUM(AF25:AQ25)</f>
        <v>80.37136977385812</v>
      </c>
      <c r="G82" s="34">
        <f>SUM(AR25:BC25)</f>
        <v>129.06626153913945</v>
      </c>
    </row>
    <row r="83">
      <c r="A83" s="3" t="inlineStr">
        <is>
          <t>Gross profit</t>
        </is>
      </c>
      <c r="C83" s="35">
        <f>SUM(C26:G26)</f>
        <v>-1.4563777466399952</v>
      </c>
      <c r="D83" s="35">
        <f>SUM(H26:S26)</f>
        <v>121.66429648967744</v>
      </c>
      <c r="E83" s="35">
        <f>SUM(T26:AE26)</f>
        <v>566.6148463387343</v>
      </c>
      <c r="F83" s="35">
        <f>SUM(AF26:AQ26)</f>
        <v>1317.1072346672472</v>
      </c>
      <c r="G83" s="35">
        <f>SUM(AR26:BC26)</f>
        <v>2276.635168932177</v>
      </c>
    </row>
    <row r="84">
      <c r="A84" s="4" t="inlineStr">
        <is>
          <t>Payroll: Product &amp; engineering (incl. design, ML/PV)</t>
        </is>
      </c>
      <c r="C84" s="34">
        <f>SUM(C38:G38)</f>
        <v>48.125</v>
      </c>
      <c r="D84" s="34">
        <f>SUM(H38:S38)</f>
        <v>241.71840000000003</v>
      </c>
      <c r="E84" s="34">
        <f>SUM(T38:AE38)</f>
        <v>395.20958400000006</v>
      </c>
      <c r="F84" s="34">
        <f>SUM(AF38:AQ38)</f>
        <v>574.3712620800001</v>
      </c>
      <c r="G84" s="34">
        <f>SUM(AR38:BC38)</f>
        <v>782.5808445840003</v>
      </c>
    </row>
    <row r="85">
      <c r="A85" s="4" t="inlineStr">
        <is>
          <t>Payroll: Growth &amp; content</t>
        </is>
      </c>
      <c r="C85" s="34">
        <f>SUM(C39:G39)</f>
        <v>10.5</v>
      </c>
      <c r="D85" s="34">
        <f>SUM(H39:S39)</f>
        <v>43.948800000000006</v>
      </c>
      <c r="E85" s="34">
        <f>SUM(T39:AE39)</f>
        <v>83.83233600000003</v>
      </c>
      <c r="F85" s="34">
        <f>SUM(AF39:AQ39)</f>
        <v>117.48503088000001</v>
      </c>
      <c r="G85" s="34">
        <f>SUM(AR39:BC39)</f>
        <v>156.5161689168001</v>
      </c>
    </row>
    <row r="86">
      <c r="A86" s="4" t="inlineStr">
        <is>
          <t>Payroll: Installer network &amp; partnerships</t>
        </is>
      </c>
      <c r="C86" s="34">
        <f>SUM(C40:G40)</f>
        <v>7.875</v>
      </c>
      <c r="D86" s="34">
        <f>SUM(H40:S40)</f>
        <v>41.202000000000005</v>
      </c>
      <c r="E86" s="34">
        <f>SUM(T40:AE40)</f>
        <v>80.83832400000003</v>
      </c>
      <c r="F86" s="34">
        <f>SUM(AF40:AQ40)</f>
        <v>117.48503088000004</v>
      </c>
      <c r="G86" s="34">
        <f>SUM(AR40:BC40)</f>
        <v>160.07335457400004</v>
      </c>
    </row>
    <row r="87">
      <c r="A87" s="4" t="inlineStr">
        <is>
          <t>Payroll: Customer &amp; installer support</t>
        </is>
      </c>
      <c r="C87" s="34">
        <f>SUM(C41:G41)</f>
        <v>1.96875</v>
      </c>
      <c r="D87" s="34">
        <f>SUM(H41:S41)</f>
        <v>12.360600000000003</v>
      </c>
      <c r="E87" s="34">
        <f>SUM(T41:AE41)</f>
        <v>26.946108000000002</v>
      </c>
      <c r="F87" s="34">
        <f>SUM(AF41:AQ41)</f>
        <v>44.05688658000001</v>
      </c>
      <c r="G87" s="34">
        <f>SUM(AR41:BC41)</f>
        <v>64.02934182960003</v>
      </c>
    </row>
    <row r="88">
      <c r="A88" s="4" t="inlineStr">
        <is>
          <t>Payroll: State / DISCOM sales</t>
        </is>
      </c>
      <c r="C88" s="34">
        <f>SUM(C42:G42)</f>
        <v>0.0</v>
      </c>
      <c r="D88" s="34">
        <f>SUM(H42:S42)</f>
        <v>21.974400000000003</v>
      </c>
      <c r="E88" s="34">
        <f>SUM(T42:AE42)</f>
        <v>47.90419200000001</v>
      </c>
      <c r="F88" s="34">
        <f>SUM(AF42:AQ42)</f>
        <v>78.32335392000002</v>
      </c>
      <c r="G88" s="34">
        <f>SUM(AR42:BC42)</f>
        <v>113.82994103040005</v>
      </c>
    </row>
    <row r="89">
      <c r="A89" s="4" t="inlineStr">
        <is>
          <t>Payroll: G&amp;A (founder-CEO, finance, HR, legal)</t>
        </is>
      </c>
      <c r="C89" s="34">
        <f>SUM(C43:G43)</f>
        <v>6.5625</v>
      </c>
      <c r="D89" s="34">
        <f>SUM(H43:S43)</f>
        <v>27.468000000000007</v>
      </c>
      <c r="E89" s="34">
        <f>SUM(T43:AE43)</f>
        <v>59.88024000000001</v>
      </c>
      <c r="F89" s="34">
        <f>SUM(AF43:AQ43)</f>
        <v>97.90419240000003</v>
      </c>
      <c r="G89" s="34">
        <f>SUM(AR43:BC43)</f>
        <v>142.28742628800006</v>
      </c>
    </row>
    <row r="90">
      <c r="A90" s="4" t="inlineStr">
        <is>
          <t>Payroll: lead-verification callers</t>
        </is>
      </c>
      <c r="C90" s="34">
        <f>SUM(C44:G44)</f>
        <v>0.8575000000000002</v>
      </c>
      <c r="D90" s="34">
        <f>SUM(H44:S44)</f>
        <v>9.346750000000013</v>
      </c>
      <c r="E90" s="34">
        <f>SUM(T44:AE44)</f>
        <v>30.56387250000001</v>
      </c>
      <c r="F90" s="34">
        <f>SUM(AF44:AQ44)</f>
        <v>69.40546046874996</v>
      </c>
      <c r="G90" s="34">
        <f>SUM(AR44:BC44)</f>
        <v>121.04312305749995</v>
      </c>
    </row>
    <row r="91">
      <c r="A91" s="4" t="inlineStr">
        <is>
          <t>Total payroll</t>
        </is>
      </c>
      <c r="C91" s="34">
        <f>SUM(C45:G45)</f>
        <v>75.88875</v>
      </c>
      <c r="D91" s="34">
        <f>SUM(H45:S45)</f>
        <v>398.0189500000001</v>
      </c>
      <c r="E91" s="34">
        <f>SUM(T45:AE45)</f>
        <v>725.1746565000002</v>
      </c>
      <c r="F91" s="34">
        <f>SUM(AF45:AQ45)</f>
        <v>1099.0312172087501</v>
      </c>
      <c r="G91" s="34">
        <f>SUM(AR45:BC45)</f>
        <v>1540.3602002803004</v>
      </c>
    </row>
    <row r="92">
      <c r="A92" s="4" t="inlineStr">
        <is>
          <t>G&amp;A</t>
        </is>
      </c>
      <c r="C92" s="34">
        <f>SUM(C46:G46)</f>
        <v>11.3833125</v>
      </c>
      <c r="D92" s="34">
        <f>SUM(H46:S46)</f>
        <v>59.7028425</v>
      </c>
      <c r="E92" s="34">
        <f>SUM(T46:AE46)</f>
        <v>108.77619847500003</v>
      </c>
      <c r="F92" s="34">
        <f>SUM(AF46:AQ46)</f>
        <v>164.85468258131255</v>
      </c>
      <c r="G92" s="34">
        <f>SUM(AR46:BC46)</f>
        <v>231.0540300420451</v>
      </c>
    </row>
    <row r="93">
      <c r="A93" s="4" t="inlineStr">
        <is>
          <t>Office, tools, compliance</t>
        </is>
      </c>
      <c r="C93" s="34">
        <f>SUM(C47:G47)</f>
        <v>10.0</v>
      </c>
      <c r="D93" s="34">
        <f>SUM(H47:S47)</f>
        <v>49.99999999999999</v>
      </c>
      <c r="E93" s="34">
        <f>SUM(T47:AE47)</f>
        <v>99.99999999999999</v>
      </c>
      <c r="F93" s="34">
        <f>SUM(AF47:AQ47)</f>
        <v>150.0</v>
      </c>
      <c r="G93" s="34">
        <f>SUM(AR47:BC47)</f>
        <v>199.99999999999997</v>
      </c>
    </row>
    <row r="94">
      <c r="A94" s="3" t="inlineStr">
        <is>
          <t>Operating expenses</t>
        </is>
      </c>
      <c r="C94" s="35">
        <f>SUM(C48:G48)</f>
        <v>97.27206249999999</v>
      </c>
      <c r="D94" s="35">
        <f>SUM(H48:S48)</f>
        <v>507.7217925000001</v>
      </c>
      <c r="E94" s="35">
        <f>SUM(T48:AE48)</f>
        <v>933.9508549750001</v>
      </c>
      <c r="F94" s="35">
        <f>SUM(AF48:AQ48)</f>
        <v>1413.8858997900627</v>
      </c>
      <c r="G94" s="35">
        <f>SUM(AR48:BC48)</f>
        <v>1971.4142303223457</v>
      </c>
    </row>
    <row r="95">
      <c r="A95" s="3" t="inlineStr">
        <is>
          <t>EBITDA</t>
        </is>
      </c>
      <c r="C95" s="35">
        <f>SUM(C49:G49)</f>
        <v>-98.72844024663999</v>
      </c>
      <c r="D95" s="35">
        <f>SUM(H49:S49)</f>
        <v>-386.05749601032267</v>
      </c>
      <c r="E95" s="35">
        <f>SUM(T49:AE49)</f>
        <v>-367.3360086362658</v>
      </c>
      <c r="F95" s="35">
        <f>SUM(AF49:AQ49)</f>
        <v>-96.77866512281572</v>
      </c>
      <c r="G95" s="35">
        <f>SUM(AR49:BC49)</f>
        <v>305.22093860983136</v>
      </c>
    </row>
    <row r="96">
      <c r="A96" s="4" t="inlineStr">
        <is>
          <t>Depreciation</t>
        </is>
      </c>
      <c r="C96" s="34">
        <f>SUM(C52:G52)</f>
        <v>1.0816666666666668</v>
      </c>
      <c r="D96" s="34">
        <f>SUM(H52:S52)</f>
        <v>6.396666666666668</v>
      </c>
      <c r="E96" s="34">
        <f>SUM(T52:AE52)</f>
        <v>12.590000000000002</v>
      </c>
      <c r="F96" s="34">
        <f>SUM(AF52:AQ52)</f>
        <v>19.324166666666663</v>
      </c>
      <c r="G96" s="34">
        <f>SUM(AR52:BC52)</f>
        <v>26.46666666666666</v>
      </c>
    </row>
    <row r="97">
      <c r="A97" s="3" t="inlineStr">
        <is>
          <t>Profit before tax</t>
        </is>
      </c>
      <c r="C97" s="35">
        <f>SUM(C53:G53)</f>
        <v>-99.81010691330667</v>
      </c>
      <c r="D97" s="35">
        <f>SUM(H53:S53)</f>
        <v>-392.4541626769892</v>
      </c>
      <c r="E97" s="35">
        <f>SUM(T53:AE53)</f>
        <v>-379.92600863626586</v>
      </c>
      <c r="F97" s="35">
        <f>SUM(AF53:AQ53)</f>
        <v>-116.1028317894824</v>
      </c>
      <c r="G97" s="35">
        <f>SUM(AR53:BC53)</f>
        <v>278.7542719431647</v>
      </c>
    </row>
    <row r="98">
      <c r="A98" s="4" t="inlineStr">
        <is>
          <t>Tax losses brought forward</t>
        </is>
      </c>
      <c r="C98" s="34" t="n">
        <v>0</v>
      </c>
      <c r="D98" s="34">
        <f>C99</f>
        <v>99.81010691330667</v>
      </c>
      <c r="E98" s="34">
        <f>D99</f>
        <v>492.26426959029584</v>
      </c>
      <c r="F98" s="34">
        <f>E99</f>
        <v>872.1902782265618</v>
      </c>
      <c r="G98" s="34">
        <f>F99</f>
        <v>988.2931100160441</v>
      </c>
    </row>
    <row r="99">
      <c r="A99" s="4" t="inlineStr">
        <is>
          <t>Tax losses carried forward (s.112: up to 8 years)</t>
        </is>
      </c>
      <c r="C99" s="34">
        <f>MAX(0,C98-C97)</f>
        <v>99.81010691330667</v>
      </c>
      <c r="D99" s="34">
        <f>MAX(0,D98-D97)</f>
        <v>492.26426959029584</v>
      </c>
      <c r="E99" s="34">
        <f>MAX(0,E98-E97)</f>
        <v>872.1902782265618</v>
      </c>
      <c r="F99" s="34">
        <f>MAX(0,F98-F97)</f>
        <v>988.2931100160441</v>
      </c>
      <c r="G99" s="34">
        <f>MAX(0,G98-G97)</f>
        <v>709.5388380728793</v>
      </c>
    </row>
    <row r="100">
      <c r="A100" s="4" t="inlineStr">
        <is>
          <t>Taxable profit</t>
        </is>
      </c>
      <c r="C100" s="34">
        <f>MAX(0,C97-C98)</f>
        <v>0.0</v>
      </c>
      <c r="D100" s="34">
        <f>MAX(0,D97-D98)</f>
        <v>0.0</v>
      </c>
      <c r="E100" s="34">
        <f>MAX(0,E97-E98)</f>
        <v>0.0</v>
      </c>
      <c r="F100" s="34">
        <f>MAX(0,F97-F98)</f>
        <v>0.0</v>
      </c>
      <c r="G100" s="34">
        <f>MAX(0,G97-G98)</f>
        <v>0.0</v>
      </c>
    </row>
    <row r="101">
      <c r="A101" s="4" t="inlineStr">
        <is>
          <t>Tax</t>
        </is>
      </c>
      <c r="C101" s="34">
        <f>C100*Assumptions!$C$77</f>
        <v>0.0</v>
      </c>
      <c r="D101" s="34">
        <f>D100*Assumptions!$C$77</f>
        <v>0.0</v>
      </c>
      <c r="E101" s="34">
        <f>E100*Assumptions!$C$77</f>
        <v>0.0</v>
      </c>
      <c r="F101" s="34">
        <f>F100*Assumptions!$C$77</f>
        <v>0.0</v>
      </c>
      <c r="G101" s="34">
        <f>G100*Assumptions!$C$77</f>
        <v>0.0</v>
      </c>
    </row>
    <row r="102">
      <c r="A102" s="3" t="inlineStr">
        <is>
          <t>Profit after tax</t>
        </is>
      </c>
      <c r="C102" s="35">
        <f>C97-C101</f>
        <v>-99.81010691330667</v>
      </c>
      <c r="D102" s="35">
        <f>D97-D101</f>
        <v>-392.4541626769892</v>
      </c>
      <c r="E102" s="35">
        <f>E97-E101</f>
        <v>-379.92600863626586</v>
      </c>
      <c r="F102" s="35">
        <f>F97-F101</f>
        <v>-116.1028317894824</v>
      </c>
      <c r="G102" s="35">
        <f>G97-G101</f>
        <v>278.7542719431647</v>
      </c>
    </row>
    <row r="103">
      <c r="A103" s="4" t="inlineStr">
        <is>
          <t>Capex</t>
        </is>
      </c>
      <c r="C103" s="34">
        <f>SUM(C51:G51)</f>
        <v>11.020800000000001</v>
      </c>
      <c r="D103" s="34">
        <f>SUM(H51:S51)</f>
        <v>15.567200603483597</v>
      </c>
      <c r="E103" s="34">
        <f>SUM(T51:AE51)</f>
        <v>20.538410691967425</v>
      </c>
      <c r="F103" s="34">
        <f>SUM(AF51:AQ51)</f>
        <v>32.626263894584184</v>
      </c>
      <c r="G103" s="34">
        <f>SUM(AR51:BC51)</f>
        <v>35.65031824946232</v>
      </c>
    </row>
    <row r="104">
      <c r="A104" s="4" t="inlineStr">
        <is>
          <t>Increase in working capital</t>
        </is>
      </c>
      <c r="C104" s="34">
        <f>SUM(C59:G59)</f>
        <v>3.2505052697600005</v>
      </c>
      <c r="D104" s="34">
        <f>SUM(H59:S59)</f>
        <v>19.138641416863095</v>
      </c>
      <c r="E104" s="34">
        <f>SUM(T59:AE59)</f>
        <v>66.71688040148402</v>
      </c>
      <c r="F104" s="34">
        <f>SUM(AF59:AQ59)</f>
        <v>90.33065550882696</v>
      </c>
      <c r="G104" s="34">
        <f>SUM(AR59:BC59)</f>
        <v>90.61334489323872</v>
      </c>
    </row>
    <row r="105">
      <c r="A105" s="4" t="inlineStr">
        <is>
          <t>Equity raised</t>
        </is>
      </c>
      <c r="C105" s="34">
        <f>SUM(C61:G61)</f>
        <v>600.0</v>
      </c>
      <c r="D105" s="34">
        <f>SUM(H61:S61)</f>
        <v>0.0</v>
      </c>
      <c r="E105" s="34">
        <f>SUM(T61:AE61)</f>
        <v>0.0</v>
      </c>
      <c r="F105" s="34">
        <f>SUM(AF61:AQ61)</f>
        <v>0.0</v>
      </c>
      <c r="G105" s="34">
        <f>SUM(AR61:BC61)</f>
        <v>0.0</v>
      </c>
    </row>
    <row r="106">
      <c r="A106" s="3" t="inlineStr">
        <is>
          <t>Closing cash (year end)</t>
        </is>
      </c>
      <c r="C106" s="35">
        <f>G64</f>
        <v>507.0002544836</v>
      </c>
      <c r="D106" s="35">
        <f>S64</f>
        <v>86.2369164529307</v>
      </c>
      <c r="E106" s="35">
        <f>AE64</f>
        <v>-368.3543832767865</v>
      </c>
      <c r="F106" s="35">
        <f>AQ64</f>
        <v>-588.0899678030133</v>
      </c>
      <c r="G106" s="35">
        <f>BC64</f>
        <v>-409.13269233588306</v>
      </c>
    </row>
    <row r="107">
      <c r="A107" s="4" t="inlineStr">
        <is>
          <t>Working capital (year end)</t>
        </is>
      </c>
      <c r="C107" s="34">
        <f>G58</f>
        <v>3.2505052697600005</v>
      </c>
      <c r="D107" s="34">
        <f>S58</f>
        <v>22.389146686623096</v>
      </c>
      <c r="E107" s="34">
        <f>AE58</f>
        <v>89.10602708810711</v>
      </c>
      <c r="F107" s="34">
        <f>AQ58</f>
        <v>179.43668259693408</v>
      </c>
      <c r="G107" s="34">
        <f>BC58</f>
        <v>270.0500274901728</v>
      </c>
    </row>
    <row r="108">
      <c r="A108" s="4" t="inlineStr">
        <is>
          <t>Average heads</t>
        </is>
      </c>
      <c r="C108" s="34">
        <f>AVERAGE(C36:G36)</f>
        <v>11.653333333333334</v>
      </c>
      <c r="D108" s="34">
        <f>AVERAGE(H36:S36)</f>
        <v>24.322222222222223</v>
      </c>
      <c r="E108" s="34">
        <f>AVERAGE(T36:AE36)</f>
        <v>44.96666666666667</v>
      </c>
      <c r="F108" s="34">
        <f>AVERAGE(AF36:AQ36)</f>
        <v>67.41388888888888</v>
      </c>
      <c r="G108" s="34">
        <f>AVERAGE(AR36:BC36)</f>
        <v>91.22222222222219</v>
      </c>
    </row>
    <row r="109">
      <c r="A109" s="4" t="inlineStr">
        <is>
          <t>Heads at year end</t>
        </is>
      </c>
      <c r="C109" s="34">
        <f>G36</f>
        <v>15.245333333333335</v>
      </c>
      <c r="D109" s="34">
        <f>S36</f>
        <v>32.542222892759554</v>
      </c>
      <c r="E109" s="34">
        <f>AE36</f>
        <v>55.3626792171678</v>
      </c>
      <c r="F109" s="34">
        <f>AQ36</f>
        <v>79.36875021115023</v>
      </c>
      <c r="G109" s="34">
        <f>BC36</f>
        <v>101.68332537334881</v>
      </c>
    </row>
    <row r="110">
      <c r="A110" s="4" t="inlineStr">
        <is>
          <t>EBITDA margin</t>
        </is>
      </c>
      <c r="C110" s="38">
        <f>IF(C79=0,0,C95/C79)</f>
        <v>-3.1189435243240387</v>
      </c>
      <c r="D110" s="38">
        <f>IF(D79=0,0,D95/D79)</f>
        <v>-0.9643607555460344</v>
      </c>
      <c r="E110" s="38">
        <f>IF(E79=0,0,E95/E79)</f>
        <v>-0.2796461682525627</v>
      </c>
      <c r="F110" s="38">
        <f>IF(F79=0,0,F95/F79)</f>
        <v>-0.03612430597927708</v>
      </c>
      <c r="G110" s="38">
        <f>IF(G79=0,0,G95/G79)</f>
        <v>0.07094517226345931</v>
      </c>
    </row>
    <row r="112">
      <c r="A112" s="13" t="inlineStr">
        <is>
          <t>Funding metrics</t>
        </is>
      </c>
      <c r="B112" s="14" t="n"/>
      <c r="C112" s="14" t="n"/>
    </row>
    <row r="113">
      <c r="A113" t="inlineStr">
        <is>
          <t>Break-even month number (EBITDA &gt; 0 from here on)</t>
        </is>
      </c>
      <c r="C113" s="39">
        <f>BC66+1</f>
        <v>39.0</v>
      </c>
    </row>
    <row r="114">
      <c r="A114" t="inlineStr">
        <is>
          <t>Break-even month</t>
        </is>
      </c>
      <c r="C114" s="40" t="str">
        <f>IF(C113&gt;53,"beyond FY31",INDEX($C$3:$BC$3,1,C113))</f>
        <v>Jan-30</v>
      </c>
    </row>
    <row r="115">
      <c r="A115" t="inlineStr">
        <is>
          <t>Lowest closing cash (₹ lakh)</t>
        </is>
      </c>
      <c r="C115" s="35">
        <f>MIN($C$64:$BC$64)</f>
        <v>-610.8569985157488</v>
      </c>
    </row>
    <row r="116">
      <c r="A116" t="inlineStr">
        <is>
          <t>Month of the low point</t>
        </is>
      </c>
      <c r="C116" s="40" t="str">
        <f>INDEX($C$3:$BC$3,1,MATCH(C115,$C$64:$BC$64,0))</f>
        <v>Apr-30</v>
      </c>
    </row>
    <row r="117">
      <c r="A117" t="inlineStr">
        <is>
          <t>Extra funding needed to stay above zero (₹ lakh)</t>
        </is>
      </c>
      <c r="C117" s="35">
        <f>MAX(0,-C115)</f>
        <v>610.8569985157488</v>
      </c>
    </row>
    <row r="118">
      <c r="A118" t="inlineStr">
        <is>
          <t>Peak monthly operating burn (₹ lakh)</t>
        </is>
      </c>
      <c r="C118" s="35">
        <f>MAX($C$65:$BC$65)</f>
        <v>63.980679853994914</v>
      </c>
    </row>
    <row r="119">
      <c r="A119" t="inlineStr">
        <is>
          <t>Month cash would run out without new money</t>
        </is>
      </c>
      <c r="C119" s="40" t="str">
        <f>IF(BC67=0,"never",INDEX($C$3:$BC$3,1,BC67))</f>
        <v>May-28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119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22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</cols>
  <sheetData>
    <row r="1">
      <c r="A1" s="1" t="inlineStr">
        <is>
          <t>Monthly engine: Upside case</t>
        </is>
      </c>
    </row>
    <row r="2">
      <c r="A2" s="2" t="inlineStr">
        <is>
          <t>20% more traffic, ~25% more revenue per report (9% leads, 22% installs, ₹1,650 fee), CAC -10%, SaaS +20%. Hiring runs 15% above plan from FY28 to serve the volume. Months run Nov 2026 to Mar 2031. Annual totals and the tax computation are below the monthly block.</t>
        </is>
      </c>
    </row>
    <row r="3">
      <c r="A3" s="11" t="inlineStr">
        <is>
          <t>₹ lakh unless stated</t>
        </is>
      </c>
      <c r="B3" s="11" t="inlineStr">
        <is>
          <t>Unit / note</t>
        </is>
      </c>
      <c r="C3" s="12" t="inlineStr">
        <is>
          <t>Nov-26</t>
        </is>
      </c>
      <c r="D3" s="12" t="inlineStr">
        <is>
          <t>Dec-26</t>
        </is>
      </c>
      <c r="E3" s="12" t="inlineStr">
        <is>
          <t>Jan-27</t>
        </is>
      </c>
      <c r="F3" s="12" t="inlineStr">
        <is>
          <t>Feb-27</t>
        </is>
      </c>
      <c r="G3" s="12" t="inlineStr">
        <is>
          <t>Mar-27</t>
        </is>
      </c>
      <c r="H3" s="12" t="inlineStr">
        <is>
          <t>Apr-27</t>
        </is>
      </c>
      <c r="I3" s="12" t="inlineStr">
        <is>
          <t>May-27</t>
        </is>
      </c>
      <c r="J3" s="12" t="inlineStr">
        <is>
          <t>Jun-27</t>
        </is>
      </c>
      <c r="K3" s="12" t="inlineStr">
        <is>
          <t>Jul-27</t>
        </is>
      </c>
      <c r="L3" s="12" t="inlineStr">
        <is>
          <t>Aug-27</t>
        </is>
      </c>
      <c r="M3" s="12" t="inlineStr">
        <is>
          <t>Sep-27</t>
        </is>
      </c>
      <c r="N3" s="12" t="inlineStr">
        <is>
          <t>Oct-27</t>
        </is>
      </c>
      <c r="O3" s="12" t="inlineStr">
        <is>
          <t>Nov-27</t>
        </is>
      </c>
      <c r="P3" s="12" t="inlineStr">
        <is>
          <t>Dec-27</t>
        </is>
      </c>
      <c r="Q3" s="12" t="inlineStr">
        <is>
          <t>Jan-28</t>
        </is>
      </c>
      <c r="R3" s="12" t="inlineStr">
        <is>
          <t>Feb-28</t>
        </is>
      </c>
      <c r="S3" s="12" t="inlineStr">
        <is>
          <t>Mar-28</t>
        </is>
      </c>
      <c r="T3" s="12" t="inlineStr">
        <is>
          <t>Apr-28</t>
        </is>
      </c>
      <c r="U3" s="12" t="inlineStr">
        <is>
          <t>May-28</t>
        </is>
      </c>
      <c r="V3" s="12" t="inlineStr">
        <is>
          <t>Jun-28</t>
        </is>
      </c>
      <c r="W3" s="12" t="inlineStr">
        <is>
          <t>Jul-28</t>
        </is>
      </c>
      <c r="X3" s="12" t="inlineStr">
        <is>
          <t>Aug-28</t>
        </is>
      </c>
      <c r="Y3" s="12" t="inlineStr">
        <is>
          <t>Sep-28</t>
        </is>
      </c>
      <c r="Z3" s="12" t="inlineStr">
        <is>
          <t>Oct-28</t>
        </is>
      </c>
      <c r="AA3" s="12" t="inlineStr">
        <is>
          <t>Nov-28</t>
        </is>
      </c>
      <c r="AB3" s="12" t="inlineStr">
        <is>
          <t>Dec-28</t>
        </is>
      </c>
      <c r="AC3" s="12" t="inlineStr">
        <is>
          <t>Jan-29</t>
        </is>
      </c>
      <c r="AD3" s="12" t="inlineStr">
        <is>
          <t>Feb-29</t>
        </is>
      </c>
      <c r="AE3" s="12" t="inlineStr">
        <is>
          <t>Mar-29</t>
        </is>
      </c>
      <c r="AF3" s="12" t="inlineStr">
        <is>
          <t>Apr-29</t>
        </is>
      </c>
      <c r="AG3" s="12" t="inlineStr">
        <is>
          <t>May-29</t>
        </is>
      </c>
      <c r="AH3" s="12" t="inlineStr">
        <is>
          <t>Jun-29</t>
        </is>
      </c>
      <c r="AI3" s="12" t="inlineStr">
        <is>
          <t>Jul-29</t>
        </is>
      </c>
      <c r="AJ3" s="12" t="inlineStr">
        <is>
          <t>Aug-29</t>
        </is>
      </c>
      <c r="AK3" s="12" t="inlineStr">
        <is>
          <t>Sep-29</t>
        </is>
      </c>
      <c r="AL3" s="12" t="inlineStr">
        <is>
          <t>Oct-29</t>
        </is>
      </c>
      <c r="AM3" s="12" t="inlineStr">
        <is>
          <t>Nov-29</t>
        </is>
      </c>
      <c r="AN3" s="12" t="inlineStr">
        <is>
          <t>Dec-29</t>
        </is>
      </c>
      <c r="AO3" s="12" t="inlineStr">
        <is>
          <t>Jan-30</t>
        </is>
      </c>
      <c r="AP3" s="12" t="inlineStr">
        <is>
          <t>Feb-30</t>
        </is>
      </c>
      <c r="AQ3" s="12" t="inlineStr">
        <is>
          <t>Mar-30</t>
        </is>
      </c>
      <c r="AR3" s="12" t="inlineStr">
        <is>
          <t>Apr-30</t>
        </is>
      </c>
      <c r="AS3" s="12" t="inlineStr">
        <is>
          <t>May-30</t>
        </is>
      </c>
      <c r="AT3" s="12" t="inlineStr">
        <is>
          <t>Jun-30</t>
        </is>
      </c>
      <c r="AU3" s="12" t="inlineStr">
        <is>
          <t>Jul-30</t>
        </is>
      </c>
      <c r="AV3" s="12" t="inlineStr">
        <is>
          <t>Aug-30</t>
        </is>
      </c>
      <c r="AW3" s="12" t="inlineStr">
        <is>
          <t>Sep-30</t>
        </is>
      </c>
      <c r="AX3" s="12" t="inlineStr">
        <is>
          <t>Oct-30</t>
        </is>
      </c>
      <c r="AY3" s="12" t="inlineStr">
        <is>
          <t>Nov-30</t>
        </is>
      </c>
      <c r="AZ3" s="12" t="inlineStr">
        <is>
          <t>Dec-30</t>
        </is>
      </c>
      <c r="BA3" s="12" t="inlineStr">
        <is>
          <t>Jan-31</t>
        </is>
      </c>
      <c r="BB3" s="12" t="inlineStr">
        <is>
          <t>Feb-31</t>
        </is>
      </c>
      <c r="BC3" s="12" t="inlineStr">
        <is>
          <t>Mar-31</t>
        </is>
      </c>
    </row>
    <row r="4">
      <c r="A4" s="4" t="inlineStr">
        <is>
          <t>Financial year (1 = FY27*)</t>
        </is>
      </c>
      <c r="B4" s="2" t="inlineStr">
        <is>
          <t>index</t>
        </is>
      </c>
      <c r="C4" s="31" t="n">
        <v>1</v>
      </c>
      <c r="D4" s="31" t="n">
        <v>1</v>
      </c>
      <c r="E4" s="31" t="n">
        <v>1</v>
      </c>
      <c r="F4" s="31" t="n">
        <v>1</v>
      </c>
      <c r="G4" s="31" t="n">
        <v>1</v>
      </c>
      <c r="H4" s="31" t="n">
        <v>2</v>
      </c>
      <c r="I4" s="31" t="n">
        <v>2</v>
      </c>
      <c r="J4" s="31" t="n">
        <v>2</v>
      </c>
      <c r="K4" s="31" t="n">
        <v>2</v>
      </c>
      <c r="L4" s="31" t="n">
        <v>2</v>
      </c>
      <c r="M4" s="31" t="n">
        <v>2</v>
      </c>
      <c r="N4" s="31" t="n">
        <v>2</v>
      </c>
      <c r="O4" s="31" t="n">
        <v>2</v>
      </c>
      <c r="P4" s="31" t="n">
        <v>2</v>
      </c>
      <c r="Q4" s="31" t="n">
        <v>2</v>
      </c>
      <c r="R4" s="31" t="n">
        <v>2</v>
      </c>
      <c r="S4" s="31" t="n">
        <v>2</v>
      </c>
      <c r="T4" s="31" t="n">
        <v>3</v>
      </c>
      <c r="U4" s="31" t="n">
        <v>3</v>
      </c>
      <c r="V4" s="31" t="n">
        <v>3</v>
      </c>
      <c r="W4" s="31" t="n">
        <v>3</v>
      </c>
      <c r="X4" s="31" t="n">
        <v>3</v>
      </c>
      <c r="Y4" s="31" t="n">
        <v>3</v>
      </c>
      <c r="Z4" s="31" t="n">
        <v>3</v>
      </c>
      <c r="AA4" s="31" t="n">
        <v>3</v>
      </c>
      <c r="AB4" s="31" t="n">
        <v>3</v>
      </c>
      <c r="AC4" s="31" t="n">
        <v>3</v>
      </c>
      <c r="AD4" s="31" t="n">
        <v>3</v>
      </c>
      <c r="AE4" s="31" t="n">
        <v>3</v>
      </c>
      <c r="AF4" s="31" t="n">
        <v>4</v>
      </c>
      <c r="AG4" s="31" t="n">
        <v>4</v>
      </c>
      <c r="AH4" s="31" t="n">
        <v>4</v>
      </c>
      <c r="AI4" s="31" t="n">
        <v>4</v>
      </c>
      <c r="AJ4" s="31" t="n">
        <v>4</v>
      </c>
      <c r="AK4" s="31" t="n">
        <v>4</v>
      </c>
      <c r="AL4" s="31" t="n">
        <v>4</v>
      </c>
      <c r="AM4" s="31" t="n">
        <v>4</v>
      </c>
      <c r="AN4" s="31" t="n">
        <v>4</v>
      </c>
      <c r="AO4" s="31" t="n">
        <v>4</v>
      </c>
      <c r="AP4" s="31" t="n">
        <v>4</v>
      </c>
      <c r="AQ4" s="31" t="n">
        <v>4</v>
      </c>
      <c r="AR4" s="31" t="n">
        <v>5</v>
      </c>
      <c r="AS4" s="31" t="n">
        <v>5</v>
      </c>
      <c r="AT4" s="31" t="n">
        <v>5</v>
      </c>
      <c r="AU4" s="31" t="n">
        <v>5</v>
      </c>
      <c r="AV4" s="31" t="n">
        <v>5</v>
      </c>
      <c r="AW4" s="31" t="n">
        <v>5</v>
      </c>
      <c r="AX4" s="31" t="n">
        <v>5</v>
      </c>
      <c r="AY4" s="31" t="n">
        <v>5</v>
      </c>
      <c r="AZ4" s="31" t="n">
        <v>5</v>
      </c>
      <c r="BA4" s="31" t="n">
        <v>5</v>
      </c>
      <c r="BB4" s="31" t="n">
        <v>5</v>
      </c>
      <c r="BC4" s="31" t="n">
        <v>5</v>
      </c>
    </row>
    <row r="5">
      <c r="A5" s="4" t="inlineStr">
        <is>
          <t>Month of financial year</t>
        </is>
      </c>
      <c r="B5" s="2" t="inlineStr">
        <is>
          <t>index</t>
        </is>
      </c>
      <c r="C5" s="31" t="n">
        <v>1</v>
      </c>
      <c r="D5" s="31" t="n">
        <v>2</v>
      </c>
      <c r="E5" s="31" t="n">
        <v>3</v>
      </c>
      <c r="F5" s="31" t="n">
        <v>4</v>
      </c>
      <c r="G5" s="31" t="n">
        <v>5</v>
      </c>
      <c r="H5" s="31" t="n">
        <v>1</v>
      </c>
      <c r="I5" s="31" t="n">
        <v>2</v>
      </c>
      <c r="J5" s="31" t="n">
        <v>3</v>
      </c>
      <c r="K5" s="31" t="n">
        <v>4</v>
      </c>
      <c r="L5" s="31" t="n">
        <v>5</v>
      </c>
      <c r="M5" s="31" t="n">
        <v>6</v>
      </c>
      <c r="N5" s="31" t="n">
        <v>7</v>
      </c>
      <c r="O5" s="31" t="n">
        <v>8</v>
      </c>
      <c r="P5" s="31" t="n">
        <v>9</v>
      </c>
      <c r="Q5" s="31" t="n">
        <v>10</v>
      </c>
      <c r="R5" s="31" t="n">
        <v>11</v>
      </c>
      <c r="S5" s="31" t="n">
        <v>12</v>
      </c>
      <c r="T5" s="31" t="n">
        <v>1</v>
      </c>
      <c r="U5" s="31" t="n">
        <v>2</v>
      </c>
      <c r="V5" s="31" t="n">
        <v>3</v>
      </c>
      <c r="W5" s="31" t="n">
        <v>4</v>
      </c>
      <c r="X5" s="31" t="n">
        <v>5</v>
      </c>
      <c r="Y5" s="31" t="n">
        <v>6</v>
      </c>
      <c r="Z5" s="31" t="n">
        <v>7</v>
      </c>
      <c r="AA5" s="31" t="n">
        <v>8</v>
      </c>
      <c r="AB5" s="31" t="n">
        <v>9</v>
      </c>
      <c r="AC5" s="31" t="n">
        <v>10</v>
      </c>
      <c r="AD5" s="31" t="n">
        <v>11</v>
      </c>
      <c r="AE5" s="31" t="n">
        <v>12</v>
      </c>
      <c r="AF5" s="31" t="n">
        <v>1</v>
      </c>
      <c r="AG5" s="31" t="n">
        <v>2</v>
      </c>
      <c r="AH5" s="31" t="n">
        <v>3</v>
      </c>
      <c r="AI5" s="31" t="n">
        <v>4</v>
      </c>
      <c r="AJ5" s="31" t="n">
        <v>5</v>
      </c>
      <c r="AK5" s="31" t="n">
        <v>6</v>
      </c>
      <c r="AL5" s="31" t="n">
        <v>7</v>
      </c>
      <c r="AM5" s="31" t="n">
        <v>8</v>
      </c>
      <c r="AN5" s="31" t="n">
        <v>9</v>
      </c>
      <c r="AO5" s="31" t="n">
        <v>10</v>
      </c>
      <c r="AP5" s="31" t="n">
        <v>11</v>
      </c>
      <c r="AQ5" s="31" t="n">
        <v>12</v>
      </c>
      <c r="AR5" s="31" t="n">
        <v>1</v>
      </c>
      <c r="AS5" s="31" t="n">
        <v>2</v>
      </c>
      <c r="AT5" s="31" t="n">
        <v>3</v>
      </c>
      <c r="AU5" s="31" t="n">
        <v>4</v>
      </c>
      <c r="AV5" s="31" t="n">
        <v>5</v>
      </c>
      <c r="AW5" s="31" t="n">
        <v>6</v>
      </c>
      <c r="AX5" s="31" t="n">
        <v>7</v>
      </c>
      <c r="AY5" s="31" t="n">
        <v>8</v>
      </c>
      <c r="AZ5" s="31" t="n">
        <v>9</v>
      </c>
      <c r="BA5" s="31" t="n">
        <v>10</v>
      </c>
      <c r="BB5" s="31" t="n">
        <v>11</v>
      </c>
      <c r="BC5" s="31" t="n">
        <v>12</v>
      </c>
    </row>
    <row r="6">
      <c r="A6" s="4" t="inlineStr">
        <is>
          <t>Months in financial year</t>
        </is>
      </c>
      <c r="B6" s="2" t="inlineStr">
        <is>
          <t>count</t>
        </is>
      </c>
      <c r="C6" s="32">
        <f>INDEX(Assumptions!$C$6:$G$6,1,C$4)</f>
        <v>5.0</v>
      </c>
      <c r="D6" s="32">
        <f>INDEX(Assumptions!$C$6:$G$6,1,D$4)</f>
        <v>5.0</v>
      </c>
      <c r="E6" s="32">
        <f>INDEX(Assumptions!$C$6:$G$6,1,E$4)</f>
        <v>5.0</v>
      </c>
      <c r="F6" s="32">
        <f>INDEX(Assumptions!$C$6:$G$6,1,F$4)</f>
        <v>5.0</v>
      </c>
      <c r="G6" s="32">
        <f>INDEX(Assumptions!$C$6:$G$6,1,G$4)</f>
        <v>5.0</v>
      </c>
      <c r="H6" s="32">
        <f>INDEX(Assumptions!$C$6:$G$6,1,H$4)</f>
        <v>12.0</v>
      </c>
      <c r="I6" s="32">
        <f>INDEX(Assumptions!$C$6:$G$6,1,I$4)</f>
        <v>12.0</v>
      </c>
      <c r="J6" s="32">
        <f>INDEX(Assumptions!$C$6:$G$6,1,J$4)</f>
        <v>12.0</v>
      </c>
      <c r="K6" s="32">
        <f>INDEX(Assumptions!$C$6:$G$6,1,K$4)</f>
        <v>12.0</v>
      </c>
      <c r="L6" s="32">
        <f>INDEX(Assumptions!$C$6:$G$6,1,L$4)</f>
        <v>12.0</v>
      </c>
      <c r="M6" s="32">
        <f>INDEX(Assumptions!$C$6:$G$6,1,M$4)</f>
        <v>12.0</v>
      </c>
      <c r="N6" s="32">
        <f>INDEX(Assumptions!$C$6:$G$6,1,N$4)</f>
        <v>12.0</v>
      </c>
      <c r="O6" s="32">
        <f>INDEX(Assumptions!$C$6:$G$6,1,O$4)</f>
        <v>12.0</v>
      </c>
      <c r="P6" s="32">
        <f>INDEX(Assumptions!$C$6:$G$6,1,P$4)</f>
        <v>12.0</v>
      </c>
      <c r="Q6" s="32">
        <f>INDEX(Assumptions!$C$6:$G$6,1,Q$4)</f>
        <v>12.0</v>
      </c>
      <c r="R6" s="32">
        <f>INDEX(Assumptions!$C$6:$G$6,1,R$4)</f>
        <v>12.0</v>
      </c>
      <c r="S6" s="32">
        <f>INDEX(Assumptions!$C$6:$G$6,1,S$4)</f>
        <v>12.0</v>
      </c>
      <c r="T6" s="32">
        <f>INDEX(Assumptions!$C$6:$G$6,1,T$4)</f>
        <v>12.0</v>
      </c>
      <c r="U6" s="32">
        <f>INDEX(Assumptions!$C$6:$G$6,1,U$4)</f>
        <v>12.0</v>
      </c>
      <c r="V6" s="32">
        <f>INDEX(Assumptions!$C$6:$G$6,1,V$4)</f>
        <v>12.0</v>
      </c>
      <c r="W6" s="32">
        <f>INDEX(Assumptions!$C$6:$G$6,1,W$4)</f>
        <v>12.0</v>
      </c>
      <c r="X6" s="32">
        <f>INDEX(Assumptions!$C$6:$G$6,1,X$4)</f>
        <v>12.0</v>
      </c>
      <c r="Y6" s="32">
        <f>INDEX(Assumptions!$C$6:$G$6,1,Y$4)</f>
        <v>12.0</v>
      </c>
      <c r="Z6" s="32">
        <f>INDEX(Assumptions!$C$6:$G$6,1,Z$4)</f>
        <v>12.0</v>
      </c>
      <c r="AA6" s="32">
        <f>INDEX(Assumptions!$C$6:$G$6,1,AA$4)</f>
        <v>12.0</v>
      </c>
      <c r="AB6" s="32">
        <f>INDEX(Assumptions!$C$6:$G$6,1,AB$4)</f>
        <v>12.0</v>
      </c>
      <c r="AC6" s="32">
        <f>INDEX(Assumptions!$C$6:$G$6,1,AC$4)</f>
        <v>12.0</v>
      </c>
      <c r="AD6" s="32">
        <f>INDEX(Assumptions!$C$6:$G$6,1,AD$4)</f>
        <v>12.0</v>
      </c>
      <c r="AE6" s="32">
        <f>INDEX(Assumptions!$C$6:$G$6,1,AE$4)</f>
        <v>12.0</v>
      </c>
      <c r="AF6" s="32">
        <f>INDEX(Assumptions!$C$6:$G$6,1,AF$4)</f>
        <v>12.0</v>
      </c>
      <c r="AG6" s="32">
        <f>INDEX(Assumptions!$C$6:$G$6,1,AG$4)</f>
        <v>12.0</v>
      </c>
      <c r="AH6" s="32">
        <f>INDEX(Assumptions!$C$6:$G$6,1,AH$4)</f>
        <v>12.0</v>
      </c>
      <c r="AI6" s="32">
        <f>INDEX(Assumptions!$C$6:$G$6,1,AI$4)</f>
        <v>12.0</v>
      </c>
      <c r="AJ6" s="32">
        <f>INDEX(Assumptions!$C$6:$G$6,1,AJ$4)</f>
        <v>12.0</v>
      </c>
      <c r="AK6" s="32">
        <f>INDEX(Assumptions!$C$6:$G$6,1,AK$4)</f>
        <v>12.0</v>
      </c>
      <c r="AL6" s="32">
        <f>INDEX(Assumptions!$C$6:$G$6,1,AL$4)</f>
        <v>12.0</v>
      </c>
      <c r="AM6" s="32">
        <f>INDEX(Assumptions!$C$6:$G$6,1,AM$4)</f>
        <v>12.0</v>
      </c>
      <c r="AN6" s="32">
        <f>INDEX(Assumptions!$C$6:$G$6,1,AN$4)</f>
        <v>12.0</v>
      </c>
      <c r="AO6" s="32">
        <f>INDEX(Assumptions!$C$6:$G$6,1,AO$4)</f>
        <v>12.0</v>
      </c>
      <c r="AP6" s="32">
        <f>INDEX(Assumptions!$C$6:$G$6,1,AP$4)</f>
        <v>12.0</v>
      </c>
      <c r="AQ6" s="32">
        <f>INDEX(Assumptions!$C$6:$G$6,1,AQ$4)</f>
        <v>12.0</v>
      </c>
      <c r="AR6" s="32">
        <f>INDEX(Assumptions!$C$6:$G$6,1,AR$4)</f>
        <v>12.0</v>
      </c>
      <c r="AS6" s="32">
        <f>INDEX(Assumptions!$C$6:$G$6,1,AS$4)</f>
        <v>12.0</v>
      </c>
      <c r="AT6" s="32">
        <f>INDEX(Assumptions!$C$6:$G$6,1,AT$4)</f>
        <v>12.0</v>
      </c>
      <c r="AU6" s="32">
        <f>INDEX(Assumptions!$C$6:$G$6,1,AU$4)</f>
        <v>12.0</v>
      </c>
      <c r="AV6" s="32">
        <f>INDEX(Assumptions!$C$6:$G$6,1,AV$4)</f>
        <v>12.0</v>
      </c>
      <c r="AW6" s="32">
        <f>INDEX(Assumptions!$C$6:$G$6,1,AW$4)</f>
        <v>12.0</v>
      </c>
      <c r="AX6" s="32">
        <f>INDEX(Assumptions!$C$6:$G$6,1,AX$4)</f>
        <v>12.0</v>
      </c>
      <c r="AY6" s="32">
        <f>INDEX(Assumptions!$C$6:$G$6,1,AY$4)</f>
        <v>12.0</v>
      </c>
      <c r="AZ6" s="32">
        <f>INDEX(Assumptions!$C$6:$G$6,1,AZ$4)</f>
        <v>12.0</v>
      </c>
      <c r="BA6" s="32">
        <f>INDEX(Assumptions!$C$6:$G$6,1,BA$4)</f>
        <v>12.0</v>
      </c>
      <c r="BB6" s="32">
        <f>INDEX(Assumptions!$C$6:$G$6,1,BB$4)</f>
        <v>12.0</v>
      </c>
      <c r="BC6" s="32">
        <f>INDEX(Assumptions!$C$6:$G$6,1,BC$4)</f>
        <v>12.0</v>
      </c>
    </row>
    <row r="7">
      <c r="A7" s="4" t="inlineStr">
        <is>
          <t>Share of the year's reports</t>
        </is>
      </c>
      <c r="B7" s="2" t="inlineStr">
        <is>
          <t>ramp profile</t>
        </is>
      </c>
      <c r="C7" s="33" t="n">
        <v>0.08</v>
      </c>
      <c r="D7" s="33" t="n">
        <v>0.14</v>
      </c>
      <c r="E7" s="33" t="n">
        <v>0.2</v>
      </c>
      <c r="F7" s="33" t="n">
        <v>0.26</v>
      </c>
      <c r="G7" s="33" t="n">
        <v>0.32</v>
      </c>
      <c r="H7" s="33" t="n">
        <v>0.03650360155005757</v>
      </c>
      <c r="I7" s="33" t="n">
        <v>0.04164102894141774</v>
      </c>
      <c r="J7" s="33" t="n">
        <v>0.04750148526912284</v>
      </c>
      <c r="K7" s="33" t="n">
        <v>0.05418672785312475</v>
      </c>
      <c r="L7" s="33" t="n">
        <v>0.0618128350891211</v>
      </c>
      <c r="M7" s="33" t="n">
        <v>0.07051222196164679</v>
      </c>
      <c r="N7" s="33" t="n">
        <v>0.08043593921553678</v>
      </c>
      <c r="O7" s="33" t="n">
        <v>0.09175629610714404</v>
      </c>
      <c r="P7" s="33" t="n">
        <v>0.104669852275134</v>
      </c>
      <c r="Q7" s="33" t="n">
        <v>0.1194008306798402</v>
      </c>
      <c r="R7" s="33" t="n">
        <v>0.1362050108713369</v>
      </c>
      <c r="S7" s="33" t="n">
        <v>0.1553741701865172</v>
      </c>
      <c r="T7" s="33" t="n">
        <v>0.05548296397380414</v>
      </c>
      <c r="U7" s="33" t="n">
        <v>0.05943766497912224</v>
      </c>
      <c r="V7" s="33" t="n">
        <v>0.06367424818613468</v>
      </c>
      <c r="W7" s="33" t="n">
        <v>0.06821280552480663</v>
      </c>
      <c r="X7" s="33" t="n">
        <v>0.0730748610327259</v>
      </c>
      <c r="Y7" s="33" t="n">
        <v>0.07828347293251636</v>
      </c>
      <c r="Z7" s="33" t="n">
        <v>0.08386334298510013</v>
      </c>
      <c r="AA7" s="33" t="n">
        <v>0.08984093363741461</v>
      </c>
      <c r="AB7" s="33" t="n">
        <v>0.09624459352015535</v>
      </c>
      <c r="AC7" s="33" t="n">
        <v>0.1031046918907164</v>
      </c>
      <c r="AD7" s="33" t="n">
        <v>0.1104537626589209</v>
      </c>
      <c r="AE7" s="33" t="n">
        <v>0.1183266586785827</v>
      </c>
      <c r="AF7" s="33" t="n">
        <v>0.06007448072342646</v>
      </c>
      <c r="AG7" s="33" t="n">
        <v>0.06354131707815498</v>
      </c>
      <c r="AH7" s="33" t="n">
        <v>0.06720822098512422</v>
      </c>
      <c r="AI7" s="33" t="n">
        <v>0.0710867381365342</v>
      </c>
      <c r="AJ7" s="33" t="n">
        <v>0.07518908051457993</v>
      </c>
      <c r="AK7" s="33" t="n">
        <v>0.07952816484236017</v>
      </c>
      <c r="AL7" s="33" t="n">
        <v>0.08411765325374851</v>
      </c>
      <c r="AM7" s="33" t="n">
        <v>0.08897199631028072</v>
      </c>
      <c r="AN7" s="33" t="n">
        <v>0.09410647850050248</v>
      </c>
      <c r="AO7" s="33" t="n">
        <v>0.0995372663650374</v>
      </c>
      <c r="AP7" s="33" t="n">
        <v>0.1052814593989032</v>
      </c>
      <c r="AQ7" s="33" t="n">
        <v>0.1113571438913479</v>
      </c>
      <c r="AR7" s="33" t="n">
        <v>0.07150579438002341</v>
      </c>
      <c r="AS7" s="33" t="n">
        <v>0.07346565763083227</v>
      </c>
      <c r="AT7" s="33" t="n">
        <v>0.07547923770270679</v>
      </c>
      <c r="AU7" s="33" t="n">
        <v>0.07754800689064729</v>
      </c>
      <c r="AV7" s="33" t="n">
        <v>0.0796734778429833</v>
      </c>
      <c r="AW7" s="33" t="n">
        <v>0.081857204667396</v>
      </c>
      <c r="AX7" s="33" t="n">
        <v>0.08410078406725492</v>
      </c>
      <c r="AY7" s="33" t="n">
        <v>0.08640585650909988</v>
      </c>
      <c r="AZ7" s="33" t="n">
        <v>0.08877410742212179</v>
      </c>
      <c r="BA7" s="33" t="n">
        <v>0.09120726843051945</v>
      </c>
      <c r="BB7" s="33" t="n">
        <v>0.09370711861963325</v>
      </c>
      <c r="BC7" s="33" t="n">
        <v>0.09627548583678162</v>
      </c>
    </row>
    <row r="8">
      <c r="A8" s="4" t="inlineStr">
        <is>
          <t>Month number</t>
        </is>
      </c>
      <c r="B8" s="2" t="inlineStr">
        <is>
          <t>1 = Nov-26</t>
        </is>
      </c>
      <c r="C8" s="31" t="n">
        <v>1</v>
      </c>
      <c r="D8" s="31" t="n">
        <v>2</v>
      </c>
      <c r="E8" s="31" t="n">
        <v>3</v>
      </c>
      <c r="F8" s="31" t="n">
        <v>4</v>
      </c>
      <c r="G8" s="31" t="n">
        <v>5</v>
      </c>
      <c r="H8" s="31" t="n">
        <v>6</v>
      </c>
      <c r="I8" s="31" t="n">
        <v>7</v>
      </c>
      <c r="J8" s="31" t="n">
        <v>8</v>
      </c>
      <c r="K8" s="31" t="n">
        <v>9</v>
      </c>
      <c r="L8" s="31" t="n">
        <v>10</v>
      </c>
      <c r="M8" s="31" t="n">
        <v>11</v>
      </c>
      <c r="N8" s="31" t="n">
        <v>12</v>
      </c>
      <c r="O8" s="31" t="n">
        <v>13</v>
      </c>
      <c r="P8" s="31" t="n">
        <v>14</v>
      </c>
      <c r="Q8" s="31" t="n">
        <v>15</v>
      </c>
      <c r="R8" s="31" t="n">
        <v>16</v>
      </c>
      <c r="S8" s="31" t="n">
        <v>17</v>
      </c>
      <c r="T8" s="31" t="n">
        <v>18</v>
      </c>
      <c r="U8" s="31" t="n">
        <v>19</v>
      </c>
      <c r="V8" s="31" t="n">
        <v>20</v>
      </c>
      <c r="W8" s="31" t="n">
        <v>21</v>
      </c>
      <c r="X8" s="31" t="n">
        <v>22</v>
      </c>
      <c r="Y8" s="31" t="n">
        <v>23</v>
      </c>
      <c r="Z8" s="31" t="n">
        <v>24</v>
      </c>
      <c r="AA8" s="31" t="n">
        <v>25</v>
      </c>
      <c r="AB8" s="31" t="n">
        <v>26</v>
      </c>
      <c r="AC8" s="31" t="n">
        <v>27</v>
      </c>
      <c r="AD8" s="31" t="n">
        <v>28</v>
      </c>
      <c r="AE8" s="31" t="n">
        <v>29</v>
      </c>
      <c r="AF8" s="31" t="n">
        <v>30</v>
      </c>
      <c r="AG8" s="31" t="n">
        <v>31</v>
      </c>
      <c r="AH8" s="31" t="n">
        <v>32</v>
      </c>
      <c r="AI8" s="31" t="n">
        <v>33</v>
      </c>
      <c r="AJ8" s="31" t="n">
        <v>34</v>
      </c>
      <c r="AK8" s="31" t="n">
        <v>35</v>
      </c>
      <c r="AL8" s="31" t="n">
        <v>36</v>
      </c>
      <c r="AM8" s="31" t="n">
        <v>37</v>
      </c>
      <c r="AN8" s="31" t="n">
        <v>38</v>
      </c>
      <c r="AO8" s="31" t="n">
        <v>39</v>
      </c>
      <c r="AP8" s="31" t="n">
        <v>40</v>
      </c>
      <c r="AQ8" s="31" t="n">
        <v>41</v>
      </c>
      <c r="AR8" s="31" t="n">
        <v>42</v>
      </c>
      <c r="AS8" s="31" t="n">
        <v>43</v>
      </c>
      <c r="AT8" s="31" t="n">
        <v>44</v>
      </c>
      <c r="AU8" s="31" t="n">
        <v>45</v>
      </c>
      <c r="AV8" s="31" t="n">
        <v>46</v>
      </c>
      <c r="AW8" s="31" t="n">
        <v>47</v>
      </c>
      <c r="AX8" s="31" t="n">
        <v>48</v>
      </c>
      <c r="AY8" s="31" t="n">
        <v>49</v>
      </c>
      <c r="AZ8" s="31" t="n">
        <v>50</v>
      </c>
      <c r="BA8" s="31" t="n">
        <v>51</v>
      </c>
      <c r="BB8" s="31" t="n">
        <v>52</v>
      </c>
      <c r="BC8" s="31" t="n">
        <v>53</v>
      </c>
    </row>
    <row r="9">
      <c r="A9" s="13" t="inlineStr">
        <is>
          <t>Funnel</t>
        </is>
      </c>
      <c r="B9" s="14" t="n"/>
    </row>
    <row r="10">
      <c r="A10" s="4" t="inlineStr">
        <is>
          <t>Roof Reports</t>
        </is>
      </c>
      <c r="B10" s="2" t="inlineStr">
        <is>
          <t>count</t>
        </is>
      </c>
      <c r="C10" s="32">
        <f>INDEX(Assumptions!$C$29:$G$29,1,C$4)*C7</f>
        <v>3840.0</v>
      </c>
      <c r="D10" s="32">
        <f>INDEX(Assumptions!$C$29:$G$29,1,D$4)*D7</f>
        <v>6720.000000000001</v>
      </c>
      <c r="E10" s="32">
        <f>INDEX(Assumptions!$C$29:$G$29,1,E$4)*E7</f>
        <v>9600.0</v>
      </c>
      <c r="F10" s="32">
        <f>INDEX(Assumptions!$C$29:$G$29,1,F$4)*F7</f>
        <v>12480.0</v>
      </c>
      <c r="G10" s="32">
        <f>INDEX(Assumptions!$C$29:$G$29,1,G$4)*G7</f>
        <v>15360.0</v>
      </c>
      <c r="H10" s="32">
        <f>INDEX(Assumptions!$C$29:$G$29,1,H$4)*H7</f>
        <v>17521.72874402784</v>
      </c>
      <c r="I10" s="32">
        <f>INDEX(Assumptions!$C$29:$G$29,1,I$4)*I7</f>
        <v>19987.69389188064</v>
      </c>
      <c r="J10" s="32">
        <f>INDEX(Assumptions!$C$29:$G$29,1,J$4)*J7</f>
        <v>22800.71292917904</v>
      </c>
      <c r="K10" s="32">
        <f>INDEX(Assumptions!$C$29:$G$29,1,K$4)*K7</f>
        <v>26009.6293695</v>
      </c>
      <c r="L10" s="32">
        <f>INDEX(Assumptions!$C$29:$G$29,1,L$4)*L7</f>
        <v>29670.16084277808</v>
      </c>
      <c r="M10" s="32">
        <f>INDEX(Assumptions!$C$29:$G$29,1,M$4)*M7</f>
        <v>33845.866541590556</v>
      </c>
      <c r="N10" s="32">
        <f>INDEX(Assumptions!$C$29:$G$29,1,N$4)*N7</f>
        <v>38609.25082345776</v>
      </c>
      <c r="O10" s="32">
        <f>INDEX(Assumptions!$C$29:$G$29,1,O$4)*O7</f>
        <v>44043.02213142912</v>
      </c>
      <c r="P10" s="32">
        <f>INDEX(Assumptions!$C$29:$G$29,1,P$4)*P7</f>
        <v>50241.529092064324</v>
      </c>
      <c r="Q10" s="32">
        <f>INDEX(Assumptions!$C$29:$G$29,1,Q$4)*Q7</f>
        <v>57312.398726323205</v>
      </c>
      <c r="R10" s="32">
        <f>INDEX(Assumptions!$C$29:$G$29,1,R$4)*R7</f>
        <v>65378.40521824176</v>
      </c>
      <c r="S10" s="32">
        <f>INDEX(Assumptions!$C$29:$G$29,1,S$4)*S7</f>
        <v>74579.60168952816</v>
      </c>
      <c r="T10" s="32">
        <f>INDEX(Assumptions!$C$29:$G$29,1,T$4)*T7</f>
        <v>79895.46812227776</v>
      </c>
      <c r="U10" s="32">
        <f>INDEX(Assumptions!$C$29:$G$29,1,U$4)*U7</f>
        <v>85590.23756993568</v>
      </c>
      <c r="V10" s="32">
        <f>INDEX(Assumptions!$C$29:$G$29,1,V$4)*V7</f>
        <v>91690.9173880344</v>
      </c>
      <c r="W10" s="32">
        <f>INDEX(Assumptions!$C$29:$G$29,1,W$4)*W7</f>
        <v>98226.43995572209</v>
      </c>
      <c r="X10" s="32">
        <f>INDEX(Assumptions!$C$29:$G$29,1,X$4)*X7</f>
        <v>105227.79988712542</v>
      </c>
      <c r="Y10" s="32">
        <f>INDEX(Assumptions!$C$29:$G$29,1,Y$4)*Y7</f>
        <v>112728.20102282304</v>
      </c>
      <c r="Z10" s="32">
        <f>INDEX(Assumptions!$C$29:$G$29,1,Z$4)*Z7</f>
        <v>120763.213898544</v>
      </c>
      <c r="AA10" s="32">
        <f>INDEX(Assumptions!$C$29:$G$29,1,AA$4)*AA7</f>
        <v>129370.9444378776</v>
      </c>
      <c r="AB10" s="32">
        <f>INDEX(Assumptions!$C$29:$G$29,1,AB$4)*AB7</f>
        <v>138592.2146690232</v>
      </c>
      <c r="AC10" s="32">
        <f>INDEX(Assumptions!$C$29:$G$29,1,AC$4)*AC7</f>
        <v>148470.75632263103</v>
      </c>
      <c r="AD10" s="32">
        <f>INDEX(Assumptions!$C$29:$G$29,1,AD$4)*AD7</f>
        <v>159053.41822884625</v>
      </c>
      <c r="AE10" s="32">
        <f>INDEX(Assumptions!$C$29:$G$29,1,AE$4)*AE7</f>
        <v>170390.38849715953</v>
      </c>
      <c r="AF10" s="32">
        <f>INDEX(Assumptions!$C$29:$G$29,1,AF$4)*AF7</f>
        <v>180223.442170278</v>
      </c>
      <c r="AG10" s="32">
        <f>INDEX(Assumptions!$C$29:$G$29,1,AG$4)*AG7</f>
        <v>190623.951234465</v>
      </c>
      <c r="AH10" s="32">
        <f>INDEX(Assumptions!$C$29:$G$29,1,AH$4)*AH7</f>
        <v>201624.66295537198</v>
      </c>
      <c r="AI10" s="32">
        <f>INDEX(Assumptions!$C$29:$G$29,1,AI$4)*AI7</f>
        <v>213260.21440960202</v>
      </c>
      <c r="AJ10" s="32">
        <f>INDEX(Assumptions!$C$29:$G$29,1,AJ$4)*AJ7</f>
        <v>225567.24154373998</v>
      </c>
      <c r="AK10" s="32">
        <f>INDEX(Assumptions!$C$29:$G$29,1,AK$4)*AK7</f>
        <v>238584.49452708</v>
      </c>
      <c r="AL10" s="32">
        <f>INDEX(Assumptions!$C$29:$G$29,1,AL$4)*AL7</f>
        <v>252352.95976124698</v>
      </c>
      <c r="AM10" s="32">
        <f>INDEX(Assumptions!$C$29:$G$29,1,AM$4)*AM7</f>
        <v>266915.988930843</v>
      </c>
      <c r="AN10" s="32">
        <f>INDEX(Assumptions!$C$29:$G$29,1,AN$4)*AN7</f>
        <v>282319.43550150597</v>
      </c>
      <c r="AO10" s="32">
        <f>INDEX(Assumptions!$C$29:$G$29,1,AO$4)*AO7</f>
        <v>298611.799095111</v>
      </c>
      <c r="AP10" s="32">
        <f>INDEX(Assumptions!$C$29:$G$29,1,AP$4)*AP7</f>
        <v>315844.37819670903</v>
      </c>
      <c r="AQ10" s="32">
        <f>INDEX(Assumptions!$C$29:$G$29,1,AQ$4)*AQ7</f>
        <v>334071.431674044</v>
      </c>
      <c r="AR10" s="32">
        <f>INDEX(Assumptions!$C$29:$G$29,1,AR$4)*AR7</f>
        <v>343227.8130241104</v>
      </c>
      <c r="AS10" s="32">
        <f>INDEX(Assumptions!$C$29:$G$29,1,AS$4)*AS7</f>
        <v>352635.1566279936</v>
      </c>
      <c r="AT10" s="32">
        <f>INDEX(Assumptions!$C$29:$G$29,1,AT$4)*AT7</f>
        <v>362300.3409729936</v>
      </c>
      <c r="AU10" s="32">
        <f>INDEX(Assumptions!$C$29:$G$29,1,AU$4)*AU7</f>
        <v>372230.4330751056</v>
      </c>
      <c r="AV10" s="32">
        <f>INDEX(Assumptions!$C$29:$G$29,1,AV$4)*AV7</f>
        <v>382432.6936463184</v>
      </c>
      <c r="AW10" s="32">
        <f>INDEX(Assumptions!$C$29:$G$29,1,AW$4)*AW7</f>
        <v>392914.5824035008</v>
      </c>
      <c r="AX10" s="32">
        <f>INDEX(Assumptions!$C$29:$G$29,1,AX$4)*AX7</f>
        <v>403683.76352282404</v>
      </c>
      <c r="AY10" s="32">
        <f>INDEX(Assumptions!$C$29:$G$29,1,AY$4)*AY7</f>
        <v>414748.11124368</v>
      </c>
      <c r="AZ10" s="32">
        <f>INDEX(Assumptions!$C$29:$G$29,1,AZ$4)*AZ7</f>
        <v>426115.7156261856</v>
      </c>
      <c r="BA10" s="32">
        <f>INDEX(Assumptions!$C$29:$G$29,1,BA$4)*BA7</f>
        <v>437794.8884664912</v>
      </c>
      <c r="BB10" s="32">
        <f>INDEX(Assumptions!$C$29:$G$29,1,BB$4)*BB7</f>
        <v>449794.1693742384</v>
      </c>
      <c r="BC10" s="32">
        <f>INDEX(Assumptions!$C$29:$G$29,1,BC$4)*BC7</f>
        <v>462122.3320165536</v>
      </c>
    </row>
    <row r="11">
      <c r="A11" s="4" t="inlineStr">
        <is>
          <t>Verified leads</t>
        </is>
      </c>
      <c r="B11" s="2" t="inlineStr">
        <is>
          <t>count</t>
        </is>
      </c>
      <c r="C11" s="32">
        <f>C10*INDEX(Assumptions!$C$30:$G$30,1,C$4)</f>
        <v>345.59999999999997</v>
      </c>
      <c r="D11" s="32">
        <f>D10*INDEX(Assumptions!$C$30:$G$30,1,D$4)</f>
        <v>604.8000000000001</v>
      </c>
      <c r="E11" s="32">
        <f>E10*INDEX(Assumptions!$C$30:$G$30,1,E$4)</f>
        <v>864.0</v>
      </c>
      <c r="F11" s="32">
        <f>F10*INDEX(Assumptions!$C$30:$G$30,1,F$4)</f>
        <v>1123.2</v>
      </c>
      <c r="G11" s="32">
        <f>G10*INDEX(Assumptions!$C$30:$G$30,1,G$4)</f>
        <v>1382.3999999999999</v>
      </c>
      <c r="H11" s="32">
        <f>H10*INDEX(Assumptions!$C$30:$G$30,1,H$4)</f>
        <v>1576.9555869625058</v>
      </c>
      <c r="I11" s="32">
        <f>I10*INDEX(Assumptions!$C$30:$G$30,1,I$4)</f>
        <v>1798.8924502692576</v>
      </c>
      <c r="J11" s="32">
        <f>J10*INDEX(Assumptions!$C$30:$G$30,1,J$4)</f>
        <v>2052.0641636261134</v>
      </c>
      <c r="K11" s="32">
        <f>K10*INDEX(Assumptions!$C$30:$G$30,1,K$4)</f>
        <v>2340.866643255</v>
      </c>
      <c r="L11" s="32">
        <f>L10*INDEX(Assumptions!$C$30:$G$30,1,L$4)</f>
        <v>2670.314475850027</v>
      </c>
      <c r="M11" s="32">
        <f>M10*INDEX(Assumptions!$C$30:$G$30,1,M$4)</f>
        <v>3046.12798874315</v>
      </c>
      <c r="N11" s="32">
        <f>N10*INDEX(Assumptions!$C$30:$G$30,1,N$4)</f>
        <v>3474.8325741111985</v>
      </c>
      <c r="O11" s="32">
        <f>O10*INDEX(Assumptions!$C$30:$G$30,1,O$4)</f>
        <v>3963.8719918286206</v>
      </c>
      <c r="P11" s="32">
        <f>P10*INDEX(Assumptions!$C$30:$G$30,1,P$4)</f>
        <v>4521.737618285789</v>
      </c>
      <c r="Q11" s="32">
        <f>Q10*INDEX(Assumptions!$C$30:$G$30,1,Q$4)</f>
        <v>5158.115885369089</v>
      </c>
      <c r="R11" s="32">
        <f>R10*INDEX(Assumptions!$C$30:$G$30,1,R$4)</f>
        <v>5884.056469641758</v>
      </c>
      <c r="S11" s="32">
        <f>S10*INDEX(Assumptions!$C$30:$G$30,1,S$4)</f>
        <v>6712.164152057535</v>
      </c>
      <c r="T11" s="32">
        <f>T10*INDEX(Assumptions!$C$30:$G$30,1,T$4)</f>
        <v>7190.592131004998</v>
      </c>
      <c r="U11" s="32">
        <f>U10*INDEX(Assumptions!$C$30:$G$30,1,U$4)</f>
        <v>7703.121381294211</v>
      </c>
      <c r="V11" s="32">
        <f>V10*INDEX(Assumptions!$C$30:$G$30,1,V$4)</f>
        <v>8252.182564923096</v>
      </c>
      <c r="W11" s="32">
        <f>W10*INDEX(Assumptions!$C$30:$G$30,1,W$4)</f>
        <v>8840.379596014987</v>
      </c>
      <c r="X11" s="32">
        <f>X10*INDEX(Assumptions!$C$30:$G$30,1,X$4)</f>
        <v>9470.501989841288</v>
      </c>
      <c r="Y11" s="32">
        <f>Y10*INDEX(Assumptions!$C$30:$G$30,1,Y$4)</f>
        <v>10145.538092054072</v>
      </c>
      <c r="Z11" s="32">
        <f>Z10*INDEX(Assumptions!$C$30:$G$30,1,Z$4)</f>
        <v>10868.68925086896</v>
      </c>
      <c r="AA11" s="32">
        <f>AA10*INDEX(Assumptions!$C$30:$G$30,1,AA$4)</f>
        <v>11643.384999408983</v>
      </c>
      <c r="AB11" s="32">
        <f>AB10*INDEX(Assumptions!$C$30:$G$30,1,AB$4)</f>
        <v>12473.299320212089</v>
      </c>
      <c r="AC11" s="32">
        <f>AC10*INDEX(Assumptions!$C$30:$G$30,1,AC$4)</f>
        <v>13362.368069036793</v>
      </c>
      <c r="AD11" s="32">
        <f>AD10*INDEX(Assumptions!$C$30:$G$30,1,AD$4)</f>
        <v>14314.807640596162</v>
      </c>
      <c r="AE11" s="32">
        <f>AE10*INDEX(Assumptions!$C$30:$G$30,1,AE$4)</f>
        <v>15335.134964744357</v>
      </c>
      <c r="AF11" s="32">
        <f>AF10*INDEX(Assumptions!$C$30:$G$30,1,AF$4)</f>
        <v>16220.10979532502</v>
      </c>
      <c r="AG11" s="32">
        <f>AG10*INDEX(Assumptions!$C$30:$G$30,1,AG$4)</f>
        <v>17156.15561110185</v>
      </c>
      <c r="AH11" s="32">
        <f>AH10*INDEX(Assumptions!$C$30:$G$30,1,AH$4)</f>
        <v>18146.219665983477</v>
      </c>
      <c r="AI11" s="32">
        <f>AI10*INDEX(Assumptions!$C$30:$G$30,1,AI$4)</f>
        <v>19193.41929686418</v>
      </c>
      <c r="AJ11" s="32">
        <f>AJ10*INDEX(Assumptions!$C$30:$G$30,1,AJ$4)</f>
        <v>20301.051738936596</v>
      </c>
      <c r="AK11" s="32">
        <f>AK10*INDEX(Assumptions!$C$30:$G$30,1,AK$4)</f>
        <v>21472.6045074372</v>
      </c>
      <c r="AL11" s="32">
        <f>AL10*INDEX(Assumptions!$C$30:$G$30,1,AL$4)</f>
        <v>22711.766378512228</v>
      </c>
      <c r="AM11" s="32">
        <f>AM10*INDEX(Assumptions!$C$30:$G$30,1,AM$4)</f>
        <v>24022.43900377587</v>
      </c>
      <c r="AN11" s="32">
        <f>AN10*INDEX(Assumptions!$C$30:$G$30,1,AN$4)</f>
        <v>25408.749195135537</v>
      </c>
      <c r="AO11" s="32">
        <f>AO10*INDEX(Assumptions!$C$30:$G$30,1,AO$4)</f>
        <v>26875.06191855999</v>
      </c>
      <c r="AP11" s="32">
        <f>AP10*INDEX(Assumptions!$C$30:$G$30,1,AP$4)</f>
        <v>28425.99403770381</v>
      </c>
      <c r="AQ11" s="32">
        <f>AQ10*INDEX(Assumptions!$C$30:$G$30,1,AQ$4)</f>
        <v>30066.428850663957</v>
      </c>
      <c r="AR11" s="32">
        <f>AR10*INDEX(Assumptions!$C$30:$G$30,1,AR$4)</f>
        <v>30890.503172169934</v>
      </c>
      <c r="AS11" s="32">
        <f>AS10*INDEX(Assumptions!$C$30:$G$30,1,AS$4)</f>
        <v>31737.164096519424</v>
      </c>
      <c r="AT11" s="32">
        <f>AT10*INDEX(Assumptions!$C$30:$G$30,1,AT$4)</f>
        <v>32607.030687569422</v>
      </c>
      <c r="AU11" s="32">
        <f>AU10*INDEX(Assumptions!$C$30:$G$30,1,AU$4)</f>
        <v>33500.7389767595</v>
      </c>
      <c r="AV11" s="32">
        <f>AV10*INDEX(Assumptions!$C$30:$G$30,1,AV$4)</f>
        <v>34418.94242816865</v>
      </c>
      <c r="AW11" s="32">
        <f>AW10*INDEX(Assumptions!$C$30:$G$30,1,AW$4)</f>
        <v>35362.31241631507</v>
      </c>
      <c r="AX11" s="32">
        <f>AX10*INDEX(Assumptions!$C$30:$G$30,1,AX$4)</f>
        <v>36331.538717054165</v>
      </c>
      <c r="AY11" s="32">
        <f>AY10*INDEX(Assumptions!$C$30:$G$30,1,AY$4)</f>
        <v>37327.3300119312</v>
      </c>
      <c r="AZ11" s="32">
        <f>AZ10*INDEX(Assumptions!$C$30:$G$30,1,AZ$4)</f>
        <v>38350.4144063567</v>
      </c>
      <c r="BA11" s="32">
        <f>BA10*INDEX(Assumptions!$C$30:$G$30,1,BA$4)</f>
        <v>39401.53996198421</v>
      </c>
      <c r="BB11" s="32">
        <f>BB10*INDEX(Assumptions!$C$30:$G$30,1,BB$4)</f>
        <v>40481.47524368145</v>
      </c>
      <c r="BC11" s="32">
        <f>BC10*INDEX(Assumptions!$C$30:$G$30,1,BC$4)</f>
        <v>41591.00988148982</v>
      </c>
    </row>
    <row r="12">
      <c r="A12" s="4" t="inlineStr">
        <is>
          <t>Installed homes (lead + 2 months)</t>
        </is>
      </c>
      <c r="B12" s="2" t="inlineStr">
        <is>
          <t>count</t>
        </is>
      </c>
      <c r="C12" s="32" t="n">
        <v>0</v>
      </c>
      <c r="D12" s="32" t="n">
        <v>0</v>
      </c>
      <c r="E12" s="32">
        <f>C11*INDEX(Assumptions!$C$31:$G$31,1,E$4)</f>
        <v>76.032</v>
      </c>
      <c r="F12" s="32">
        <f>D11*INDEX(Assumptions!$C$31:$G$31,1,F$4)</f>
        <v>133.056</v>
      </c>
      <c r="G12" s="32">
        <f>E11*INDEX(Assumptions!$C$31:$G$31,1,G$4)</f>
        <v>190.08</v>
      </c>
      <c r="H12" s="32">
        <f>F11*INDEX(Assumptions!$C$31:$G$31,1,H$4)</f>
        <v>247.104</v>
      </c>
      <c r="I12" s="32">
        <f>G11*INDEX(Assumptions!$C$31:$G$31,1,I$4)</f>
        <v>304.128</v>
      </c>
      <c r="J12" s="32">
        <f>H11*INDEX(Assumptions!$C$31:$G$31,1,J$4)</f>
        <v>346.9302291317513</v>
      </c>
      <c r="K12" s="32">
        <f>I11*INDEX(Assumptions!$C$31:$G$31,1,K$4)</f>
        <v>395.75633905923667</v>
      </c>
      <c r="L12" s="32">
        <f>J11*INDEX(Assumptions!$C$31:$G$31,1,L$4)</f>
        <v>451.45411599774496</v>
      </c>
      <c r="M12" s="32">
        <f>K11*INDEX(Assumptions!$C$31:$G$31,1,M$4)</f>
        <v>514.9906615161</v>
      </c>
      <c r="N12" s="32">
        <f>L11*INDEX(Assumptions!$C$31:$G$31,1,N$4)</f>
        <v>587.469184687006</v>
      </c>
      <c r="O12" s="32">
        <f>M11*INDEX(Assumptions!$C$31:$G$31,1,O$4)</f>
        <v>670.1481575234931</v>
      </c>
      <c r="P12" s="32">
        <f>N11*INDEX(Assumptions!$C$31:$G$31,1,P$4)</f>
        <v>764.4631663044637</v>
      </c>
      <c r="Q12" s="32">
        <f>O11*INDEX(Assumptions!$C$31:$G$31,1,Q$4)</f>
        <v>872.0518382022965</v>
      </c>
      <c r="R12" s="32">
        <f>P11*INDEX(Assumptions!$C$31:$G$31,1,R$4)</f>
        <v>994.7822760228736</v>
      </c>
      <c r="S12" s="32">
        <f>Q11*INDEX(Assumptions!$C$31:$G$31,1,S$4)</f>
        <v>1134.7854947811995</v>
      </c>
      <c r="T12" s="32">
        <f>R11*INDEX(Assumptions!$C$31:$G$31,1,T$4)</f>
        <v>1294.4924233211866</v>
      </c>
      <c r="U12" s="32">
        <f>S11*INDEX(Assumptions!$C$31:$G$31,1,U$4)</f>
        <v>1476.6761134526578</v>
      </c>
      <c r="V12" s="32">
        <f>T11*INDEX(Assumptions!$C$31:$G$31,1,V$4)</f>
        <v>1581.9302688210996</v>
      </c>
      <c r="W12" s="32">
        <f>U11*INDEX(Assumptions!$C$31:$G$31,1,W$4)</f>
        <v>1694.6867038847263</v>
      </c>
      <c r="X12" s="32">
        <f>V11*INDEX(Assumptions!$C$31:$G$31,1,X$4)</f>
        <v>1815.4801642830812</v>
      </c>
      <c r="Y12" s="32">
        <f>W11*INDEX(Assumptions!$C$31:$G$31,1,Y$4)</f>
        <v>1944.8835111232972</v>
      </c>
      <c r="Z12" s="32">
        <f>X11*INDEX(Assumptions!$C$31:$G$31,1,Z$4)</f>
        <v>2083.5104377650837</v>
      </c>
      <c r="AA12" s="32">
        <f>Y11*INDEX(Assumptions!$C$31:$G$31,1,AA$4)</f>
        <v>2232.018380251896</v>
      </c>
      <c r="AB12" s="32">
        <f>Z11*INDEX(Assumptions!$C$31:$G$31,1,AB$4)</f>
        <v>2391.111635191171</v>
      </c>
      <c r="AC12" s="32">
        <f>AA11*INDEX(Assumptions!$C$31:$G$31,1,AC$4)</f>
        <v>2561.5446998699763</v>
      </c>
      <c r="AD12" s="32">
        <f>AB11*INDEX(Assumptions!$C$31:$G$31,1,AD$4)</f>
        <v>2744.1258504466596</v>
      </c>
      <c r="AE12" s="32">
        <f>AC11*INDEX(Assumptions!$C$31:$G$31,1,AE$4)</f>
        <v>2939.7209751880946</v>
      </c>
      <c r="AF12" s="32">
        <f>AD11*INDEX(Assumptions!$C$31:$G$31,1,AF$4)</f>
        <v>3149.257680931156</v>
      </c>
      <c r="AG12" s="32">
        <f>AE11*INDEX(Assumptions!$C$31:$G$31,1,AG$4)</f>
        <v>3373.7296922437586</v>
      </c>
      <c r="AH12" s="32">
        <f>AF11*INDEX(Assumptions!$C$31:$G$31,1,AH$4)</f>
        <v>3568.4241549715043</v>
      </c>
      <c r="AI12" s="32">
        <f>AG11*INDEX(Assumptions!$C$31:$G$31,1,AI$4)</f>
        <v>3774.3542344424072</v>
      </c>
      <c r="AJ12" s="32">
        <f>AH11*INDEX(Assumptions!$C$31:$G$31,1,AJ$4)</f>
        <v>3992.168326516365</v>
      </c>
      <c r="AK12" s="32">
        <f>AI11*INDEX(Assumptions!$C$31:$G$31,1,AK$4)</f>
        <v>4222.552245310119</v>
      </c>
      <c r="AL12" s="32">
        <f>AJ11*INDEX(Assumptions!$C$31:$G$31,1,AL$4)</f>
        <v>4466.231382566051</v>
      </c>
      <c r="AM12" s="32">
        <f>AK11*INDEX(Assumptions!$C$31:$G$31,1,AM$4)</f>
        <v>4723.972991636184</v>
      </c>
      <c r="AN12" s="32">
        <f>AL11*INDEX(Assumptions!$C$31:$G$31,1,AN$4)</f>
        <v>4996.58860327269</v>
      </c>
      <c r="AO12" s="32">
        <f>AM11*INDEX(Assumptions!$C$31:$G$31,1,AO$4)</f>
        <v>5284.936580830692</v>
      </c>
      <c r="AP12" s="32">
        <f>AN11*INDEX(Assumptions!$C$31:$G$31,1,AP$4)</f>
        <v>5589.924822929818</v>
      </c>
      <c r="AQ12" s="32">
        <f>AO11*INDEX(Assumptions!$C$31:$G$31,1,AQ$4)</f>
        <v>5912.513622083198</v>
      </c>
      <c r="AR12" s="32">
        <f>AP11*INDEX(Assumptions!$C$31:$G$31,1,AR$4)</f>
        <v>6253.718688294838</v>
      </c>
      <c r="AS12" s="32">
        <f>AQ11*INDEX(Assumptions!$C$31:$G$31,1,AS$4)</f>
        <v>6614.614347146071</v>
      </c>
      <c r="AT12" s="32">
        <f>AR11*INDEX(Assumptions!$C$31:$G$31,1,AT$4)</f>
        <v>6795.910697877385</v>
      </c>
      <c r="AU12" s="32">
        <f>AS11*INDEX(Assumptions!$C$31:$G$31,1,AU$4)</f>
        <v>6982.176101234273</v>
      </c>
      <c r="AV12" s="32">
        <f>AT11*INDEX(Assumptions!$C$31:$G$31,1,AV$4)</f>
        <v>7173.546751265273</v>
      </c>
      <c r="AW12" s="32">
        <f>AU11*INDEX(Assumptions!$C$31:$G$31,1,AW$4)</f>
        <v>7370.16257488709</v>
      </c>
      <c r="AX12" s="32">
        <f>AV11*INDEX(Assumptions!$C$31:$G$31,1,AX$4)</f>
        <v>7572.167334197104</v>
      </c>
      <c r="AY12" s="32">
        <f>AW11*INDEX(Assumptions!$C$31:$G$31,1,AY$4)</f>
        <v>7779.708731589316</v>
      </c>
      <c r="AZ12" s="32">
        <f>AX11*INDEX(Assumptions!$C$31:$G$31,1,AZ$4)</f>
        <v>7992.938517751916</v>
      </c>
      <c r="BA12" s="32">
        <f>AY11*INDEX(Assumptions!$C$31:$G$31,1,BA$4)</f>
        <v>8212.012602624864</v>
      </c>
      <c r="BB12" s="32">
        <f>AZ11*INDEX(Assumptions!$C$31:$G$31,1,BB$4)</f>
        <v>8437.091169398474</v>
      </c>
      <c r="BC12" s="32">
        <f>BA11*INDEX(Assumptions!$C$31:$G$31,1,BC$4)</f>
        <v>8668.338791636526</v>
      </c>
    </row>
    <row r="13">
      <c r="A13" s="4" t="inlineStr">
        <is>
          <t>Average system value</t>
        </is>
      </c>
      <c r="B13" s="2" t="inlineStr">
        <is>
          <t>₹</t>
        </is>
      </c>
      <c r="C13" s="32">
        <f>Assumptions!$C$39*INDEX(Assumptions!$C$40:$G$40,1,C$4)</f>
        <v>185600.0</v>
      </c>
      <c r="D13" s="32">
        <f>Assumptions!$C$39*INDEX(Assumptions!$C$40:$G$40,1,D$4)</f>
        <v>185600.0</v>
      </c>
      <c r="E13" s="32">
        <f>Assumptions!$C$39*INDEX(Assumptions!$C$40:$G$40,1,E$4)</f>
        <v>185600.0</v>
      </c>
      <c r="F13" s="32">
        <f>Assumptions!$C$39*INDEX(Assumptions!$C$40:$G$40,1,F$4)</f>
        <v>185600.0</v>
      </c>
      <c r="G13" s="32">
        <f>Assumptions!$C$39*INDEX(Assumptions!$C$40:$G$40,1,G$4)</f>
        <v>185600.0</v>
      </c>
      <c r="H13" s="32">
        <f>Assumptions!$C$39*INDEX(Assumptions!$C$40:$G$40,1,H$4)</f>
        <v>182400.0</v>
      </c>
      <c r="I13" s="32">
        <f>Assumptions!$C$39*INDEX(Assumptions!$C$40:$G$40,1,I$4)</f>
        <v>182400.0</v>
      </c>
      <c r="J13" s="32">
        <f>Assumptions!$C$39*INDEX(Assumptions!$C$40:$G$40,1,J$4)</f>
        <v>182400.0</v>
      </c>
      <c r="K13" s="32">
        <f>Assumptions!$C$39*INDEX(Assumptions!$C$40:$G$40,1,K$4)</f>
        <v>182400.0</v>
      </c>
      <c r="L13" s="32">
        <f>Assumptions!$C$39*INDEX(Assumptions!$C$40:$G$40,1,L$4)</f>
        <v>182400.0</v>
      </c>
      <c r="M13" s="32">
        <f>Assumptions!$C$39*INDEX(Assumptions!$C$40:$G$40,1,M$4)</f>
        <v>182400.0</v>
      </c>
      <c r="N13" s="32">
        <f>Assumptions!$C$39*INDEX(Assumptions!$C$40:$G$40,1,N$4)</f>
        <v>182400.0</v>
      </c>
      <c r="O13" s="32">
        <f>Assumptions!$C$39*INDEX(Assumptions!$C$40:$G$40,1,O$4)</f>
        <v>182400.0</v>
      </c>
      <c r="P13" s="32">
        <f>Assumptions!$C$39*INDEX(Assumptions!$C$40:$G$40,1,P$4)</f>
        <v>182400.0</v>
      </c>
      <c r="Q13" s="32">
        <f>Assumptions!$C$39*INDEX(Assumptions!$C$40:$G$40,1,Q$4)</f>
        <v>182400.0</v>
      </c>
      <c r="R13" s="32">
        <f>Assumptions!$C$39*INDEX(Assumptions!$C$40:$G$40,1,R$4)</f>
        <v>182400.0</v>
      </c>
      <c r="S13" s="32">
        <f>Assumptions!$C$39*INDEX(Assumptions!$C$40:$G$40,1,S$4)</f>
        <v>182400.0</v>
      </c>
      <c r="T13" s="32">
        <f>Assumptions!$C$39*INDEX(Assumptions!$C$40:$G$40,1,T$4)</f>
        <v>179200.0</v>
      </c>
      <c r="U13" s="32">
        <f>Assumptions!$C$39*INDEX(Assumptions!$C$40:$G$40,1,U$4)</f>
        <v>179200.0</v>
      </c>
      <c r="V13" s="32">
        <f>Assumptions!$C$39*INDEX(Assumptions!$C$40:$G$40,1,V$4)</f>
        <v>179200.0</v>
      </c>
      <c r="W13" s="32">
        <f>Assumptions!$C$39*INDEX(Assumptions!$C$40:$G$40,1,W$4)</f>
        <v>179200.0</v>
      </c>
      <c r="X13" s="32">
        <f>Assumptions!$C$39*INDEX(Assumptions!$C$40:$G$40,1,X$4)</f>
        <v>179200.0</v>
      </c>
      <c r="Y13" s="32">
        <f>Assumptions!$C$39*INDEX(Assumptions!$C$40:$G$40,1,Y$4)</f>
        <v>179200.0</v>
      </c>
      <c r="Z13" s="32">
        <f>Assumptions!$C$39*INDEX(Assumptions!$C$40:$G$40,1,Z$4)</f>
        <v>179200.0</v>
      </c>
      <c r="AA13" s="32">
        <f>Assumptions!$C$39*INDEX(Assumptions!$C$40:$G$40,1,AA$4)</f>
        <v>179200.0</v>
      </c>
      <c r="AB13" s="32">
        <f>Assumptions!$C$39*INDEX(Assumptions!$C$40:$G$40,1,AB$4)</f>
        <v>179200.0</v>
      </c>
      <c r="AC13" s="32">
        <f>Assumptions!$C$39*INDEX(Assumptions!$C$40:$G$40,1,AC$4)</f>
        <v>179200.0</v>
      </c>
      <c r="AD13" s="32">
        <f>Assumptions!$C$39*INDEX(Assumptions!$C$40:$G$40,1,AD$4)</f>
        <v>179200.0</v>
      </c>
      <c r="AE13" s="32">
        <f>Assumptions!$C$39*INDEX(Assumptions!$C$40:$G$40,1,AE$4)</f>
        <v>179200.0</v>
      </c>
      <c r="AF13" s="32">
        <f>Assumptions!$C$39*INDEX(Assumptions!$C$40:$G$40,1,AF$4)</f>
        <v>176000.0</v>
      </c>
      <c r="AG13" s="32">
        <f>Assumptions!$C$39*INDEX(Assumptions!$C$40:$G$40,1,AG$4)</f>
        <v>176000.0</v>
      </c>
      <c r="AH13" s="32">
        <f>Assumptions!$C$39*INDEX(Assumptions!$C$40:$G$40,1,AH$4)</f>
        <v>176000.0</v>
      </c>
      <c r="AI13" s="32">
        <f>Assumptions!$C$39*INDEX(Assumptions!$C$40:$G$40,1,AI$4)</f>
        <v>176000.0</v>
      </c>
      <c r="AJ13" s="32">
        <f>Assumptions!$C$39*INDEX(Assumptions!$C$40:$G$40,1,AJ$4)</f>
        <v>176000.0</v>
      </c>
      <c r="AK13" s="32">
        <f>Assumptions!$C$39*INDEX(Assumptions!$C$40:$G$40,1,AK$4)</f>
        <v>176000.0</v>
      </c>
      <c r="AL13" s="32">
        <f>Assumptions!$C$39*INDEX(Assumptions!$C$40:$G$40,1,AL$4)</f>
        <v>176000.0</v>
      </c>
      <c r="AM13" s="32">
        <f>Assumptions!$C$39*INDEX(Assumptions!$C$40:$G$40,1,AM$4)</f>
        <v>176000.0</v>
      </c>
      <c r="AN13" s="32">
        <f>Assumptions!$C$39*INDEX(Assumptions!$C$40:$G$40,1,AN$4)</f>
        <v>176000.0</v>
      </c>
      <c r="AO13" s="32">
        <f>Assumptions!$C$39*INDEX(Assumptions!$C$40:$G$40,1,AO$4)</f>
        <v>176000.0</v>
      </c>
      <c r="AP13" s="32">
        <f>Assumptions!$C$39*INDEX(Assumptions!$C$40:$G$40,1,AP$4)</f>
        <v>176000.0</v>
      </c>
      <c r="AQ13" s="32">
        <f>Assumptions!$C$39*INDEX(Assumptions!$C$40:$G$40,1,AQ$4)</f>
        <v>176000.0</v>
      </c>
      <c r="AR13" s="32">
        <f>Assumptions!$C$39*INDEX(Assumptions!$C$40:$G$40,1,AR$4)</f>
        <v>172800.0</v>
      </c>
      <c r="AS13" s="32">
        <f>Assumptions!$C$39*INDEX(Assumptions!$C$40:$G$40,1,AS$4)</f>
        <v>172800.0</v>
      </c>
      <c r="AT13" s="32">
        <f>Assumptions!$C$39*INDEX(Assumptions!$C$40:$G$40,1,AT$4)</f>
        <v>172800.0</v>
      </c>
      <c r="AU13" s="32">
        <f>Assumptions!$C$39*INDEX(Assumptions!$C$40:$G$40,1,AU$4)</f>
        <v>172800.0</v>
      </c>
      <c r="AV13" s="32">
        <f>Assumptions!$C$39*INDEX(Assumptions!$C$40:$G$40,1,AV$4)</f>
        <v>172800.0</v>
      </c>
      <c r="AW13" s="32">
        <f>Assumptions!$C$39*INDEX(Assumptions!$C$40:$G$40,1,AW$4)</f>
        <v>172800.0</v>
      </c>
      <c r="AX13" s="32">
        <f>Assumptions!$C$39*INDEX(Assumptions!$C$40:$G$40,1,AX$4)</f>
        <v>172800.0</v>
      </c>
      <c r="AY13" s="32">
        <f>Assumptions!$C$39*INDEX(Assumptions!$C$40:$G$40,1,AY$4)</f>
        <v>172800.0</v>
      </c>
      <c r="AZ13" s="32">
        <f>Assumptions!$C$39*INDEX(Assumptions!$C$40:$G$40,1,AZ$4)</f>
        <v>172800.0</v>
      </c>
      <c r="BA13" s="32">
        <f>Assumptions!$C$39*INDEX(Assumptions!$C$40:$G$40,1,BA$4)</f>
        <v>172800.0</v>
      </c>
      <c r="BB13" s="32">
        <f>Assumptions!$C$39*INDEX(Assumptions!$C$40:$G$40,1,BB$4)</f>
        <v>172800.0</v>
      </c>
      <c r="BC13" s="32">
        <f>Assumptions!$C$39*INDEX(Assumptions!$C$40:$G$40,1,BC$4)</f>
        <v>172800.0</v>
      </c>
    </row>
    <row r="14">
      <c r="A14" s="13" t="inlineStr">
        <is>
          <t>Revenue</t>
        </is>
      </c>
      <c r="B14" s="14" t="n"/>
    </row>
    <row r="15">
      <c r="A15" s="4" t="inlineStr">
        <is>
          <t>Lead fees (net of credits)</t>
        </is>
      </c>
      <c r="B15" s="2" t="inlineStr">
        <is>
          <t>₹ lakh</t>
        </is>
      </c>
      <c r="C15" s="34">
        <f>C11*INDEX(Assumptions!$C$32:$G$32,1,C$4)*(1-Assumptions!$C$43)/100000</f>
        <v>5.41728</v>
      </c>
      <c r="D15" s="34">
        <f>D11*INDEX(Assumptions!$C$32:$G$32,1,D$4)*(1-Assumptions!$C$43)/100000</f>
        <v>9.480240000000002</v>
      </c>
      <c r="E15" s="34">
        <f>E11*INDEX(Assumptions!$C$32:$G$32,1,E$4)*(1-Assumptions!$C$43)/100000</f>
        <v>13.5432</v>
      </c>
      <c r="F15" s="34">
        <f>F11*INDEX(Assumptions!$C$32:$G$32,1,F$4)*(1-Assumptions!$C$43)/100000</f>
        <v>17.60616</v>
      </c>
      <c r="G15" s="34">
        <f>G11*INDEX(Assumptions!$C$32:$G$32,1,G$4)*(1-Assumptions!$C$43)/100000</f>
        <v>21.66912</v>
      </c>
      <c r="H15" s="34">
        <f>H11*INDEX(Assumptions!$C$32:$G$32,1,H$4)*(1-Assumptions!$C$43)/100000</f>
        <v>24.718778825637273</v>
      </c>
      <c r="I15" s="34">
        <f>I11*INDEX(Assumptions!$C$32:$G$32,1,I$4)*(1-Assumptions!$C$43)/100000</f>
        <v>28.19763915797061</v>
      </c>
      <c r="J15" s="34">
        <f>J11*INDEX(Assumptions!$C$32:$G$32,1,J$4)*(1-Assumptions!$C$43)/100000</f>
        <v>32.16610576483933</v>
      </c>
      <c r="K15" s="34">
        <f>K11*INDEX(Assumptions!$C$32:$G$32,1,K$4)*(1-Assumptions!$C$43)/100000</f>
        <v>36.693084633022124</v>
      </c>
      <c r="L15" s="34">
        <f>L11*INDEX(Assumptions!$C$32:$G$32,1,L$4)*(1-Assumptions!$C$43)/100000</f>
        <v>41.85717940894918</v>
      </c>
      <c r="M15" s="34">
        <f>M11*INDEX(Assumptions!$C$32:$G$32,1,M$4)*(1-Assumptions!$C$43)/100000</f>
        <v>47.74805622354887</v>
      </c>
      <c r="N15" s="34">
        <f>N11*INDEX(Assumptions!$C$32:$G$32,1,N$4)*(1-Assumptions!$C$43)/100000</f>
        <v>54.46800059919303</v>
      </c>
      <c r="O15" s="34">
        <f>O11*INDEX(Assumptions!$C$32:$G$32,1,O$4)*(1-Assumptions!$C$43)/100000</f>
        <v>62.133693471913624</v>
      </c>
      <c r="P15" s="34">
        <f>P11*INDEX(Assumptions!$C$32:$G$32,1,P$4)*(1-Assumptions!$C$43)/100000</f>
        <v>70.87823716662975</v>
      </c>
      <c r="Q15" s="34">
        <f>Q11*INDEX(Assumptions!$C$32:$G$32,1,Q$4)*(1-Assumptions!$C$43)/100000</f>
        <v>80.85346650316046</v>
      </c>
      <c r="R15" s="34">
        <f>R11*INDEX(Assumptions!$C$32:$G$32,1,R$4)*(1-Assumptions!$C$43)/100000</f>
        <v>92.23258516163456</v>
      </c>
      <c r="S15" s="34">
        <f>S11*INDEX(Assumptions!$C$32:$G$32,1,S$4)*(1-Assumptions!$C$43)/100000</f>
        <v>105.21317308350184</v>
      </c>
      <c r="T15" s="34">
        <f>T11*INDEX(Assumptions!$C$32:$G$32,1,T$4)*(1-Assumptions!$C$43)/100000</f>
        <v>112.71253165350335</v>
      </c>
      <c r="U15" s="34">
        <f>U11*INDEX(Assumptions!$C$32:$G$32,1,U$4)*(1-Assumptions!$C$43)/100000</f>
        <v>120.74642765178675</v>
      </c>
      <c r="V15" s="34">
        <f>V11*INDEX(Assumptions!$C$32:$G$32,1,V$4)*(1-Assumptions!$C$43)/100000</f>
        <v>129.35296170516952</v>
      </c>
      <c r="W15" s="34">
        <f>W11*INDEX(Assumptions!$C$32:$G$32,1,W$4)*(1-Assumptions!$C$43)/100000</f>
        <v>138.5729501675349</v>
      </c>
      <c r="X15" s="34">
        <f>X11*INDEX(Assumptions!$C$32:$G$32,1,X$4)*(1-Assumptions!$C$43)/100000</f>
        <v>148.4501186907622</v>
      </c>
      <c r="Y15" s="34">
        <f>Y11*INDEX(Assumptions!$C$32:$G$32,1,Y$4)*(1-Assumptions!$C$43)/100000</f>
        <v>159.03130959294757</v>
      </c>
      <c r="Z15" s="34">
        <f>Z11*INDEX(Assumptions!$C$32:$G$32,1,Z$4)*(1-Assumptions!$C$43)/100000</f>
        <v>170.36670400737097</v>
      </c>
      <c r="AA15" s="34">
        <f>AA11*INDEX(Assumptions!$C$32:$G$32,1,AA$4)*(1-Assumptions!$C$43)/100000</f>
        <v>182.5100598657358</v>
      </c>
      <c r="AB15" s="34">
        <f>AB11*INDEX(Assumptions!$C$32:$G$32,1,AB$4)*(1-Assumptions!$C$43)/100000</f>
        <v>195.51896684432447</v>
      </c>
      <c r="AC15" s="34">
        <f>AC11*INDEX(Assumptions!$C$32:$G$32,1,AC$4)*(1-Assumptions!$C$43)/100000</f>
        <v>209.45511948215173</v>
      </c>
      <c r="AD15" s="34">
        <f>AD11*INDEX(Assumptions!$C$32:$G$32,1,AD$4)*(1-Assumptions!$C$43)/100000</f>
        <v>224.3846097663448</v>
      </c>
      <c r="AE15" s="34">
        <f>AE11*INDEX(Assumptions!$C$32:$G$32,1,AE$4)*(1-Assumptions!$C$43)/100000</f>
        <v>240.37824057236776</v>
      </c>
      <c r="AF15" s="34">
        <f>AF11*INDEX(Assumptions!$C$32:$G$32,1,AF$4)*(1-Assumptions!$C$43)/100000</f>
        <v>254.25022104171964</v>
      </c>
      <c r="AG15" s="34">
        <f>AG11*INDEX(Assumptions!$C$32:$G$32,1,AG$4)*(1-Assumptions!$C$43)/100000</f>
        <v>268.9227392040215</v>
      </c>
      <c r="AH15" s="34">
        <f>AH11*INDEX(Assumptions!$C$32:$G$32,1,AH$4)*(1-Assumptions!$C$43)/100000</f>
        <v>284.441993264291</v>
      </c>
      <c r="AI15" s="34">
        <f>AI11*INDEX(Assumptions!$C$32:$G$32,1,AI$4)*(1-Assumptions!$C$43)/100000</f>
        <v>300.856847478346</v>
      </c>
      <c r="AJ15" s="34">
        <f>AJ11*INDEX(Assumptions!$C$32:$G$32,1,AJ$4)*(1-Assumptions!$C$43)/100000</f>
        <v>318.2189860078311</v>
      </c>
      <c r="AK15" s="34">
        <f>AK11*INDEX(Assumptions!$C$32:$G$32,1,AK$4)*(1-Assumptions!$C$43)/100000</f>
        <v>336.5830756540781</v>
      </c>
      <c r="AL15" s="34">
        <f>AL11*INDEX(Assumptions!$C$32:$G$32,1,AL$4)*(1-Assumptions!$C$43)/100000</f>
        <v>356.00693798317917</v>
      </c>
      <c r="AM15" s="34">
        <f>AM11*INDEX(Assumptions!$C$32:$G$32,1,AM$4)*(1-Assumptions!$C$43)/100000</f>
        <v>376.5517313841867</v>
      </c>
      <c r="AN15" s="34">
        <f>AN11*INDEX(Assumptions!$C$32:$G$32,1,AN$4)*(1-Assumptions!$C$43)/100000</f>
        <v>398.28214363374957</v>
      </c>
      <c r="AO15" s="34">
        <f>AO11*INDEX(Assumptions!$C$32:$G$32,1,AO$4)*(1-Assumptions!$C$43)/100000</f>
        <v>421.2665955734278</v>
      </c>
      <c r="AP15" s="34">
        <f>AP11*INDEX(Assumptions!$C$32:$G$32,1,AP$4)*(1-Assumptions!$C$43)/100000</f>
        <v>445.5774565410072</v>
      </c>
      <c r="AQ15" s="34">
        <f>AQ11*INDEX(Assumptions!$C$32:$G$32,1,AQ$4)*(1-Assumptions!$C$43)/100000</f>
        <v>471.29127223415753</v>
      </c>
      <c r="AR15" s="34">
        <f>AR11*INDEX(Assumptions!$C$32:$G$32,1,AR$4)*(1-Assumptions!$C$43)/100000</f>
        <v>484.2086372237637</v>
      </c>
      <c r="AS15" s="34">
        <f>AS11*INDEX(Assumptions!$C$32:$G$32,1,AS$4)*(1-Assumptions!$C$43)/100000</f>
        <v>497.48004721294194</v>
      </c>
      <c r="AT15" s="34">
        <f>AT11*INDEX(Assumptions!$C$32:$G$32,1,AT$4)*(1-Assumptions!$C$43)/100000</f>
        <v>511.11520602765063</v>
      </c>
      <c r="AU15" s="34">
        <f>AU11*INDEX(Assumptions!$C$32:$G$32,1,AU$4)*(1-Assumptions!$C$43)/100000</f>
        <v>525.1240834607052</v>
      </c>
      <c r="AV15" s="34">
        <f>AV11*INDEX(Assumptions!$C$32:$G$32,1,AV$4)*(1-Assumptions!$C$43)/100000</f>
        <v>539.5169225615435</v>
      </c>
      <c r="AW15" s="34">
        <f>AW11*INDEX(Assumptions!$C$32:$G$32,1,AW$4)*(1-Assumptions!$C$43)/100000</f>
        <v>554.3042471257387</v>
      </c>
      <c r="AX15" s="34">
        <f>AX11*INDEX(Assumptions!$C$32:$G$32,1,AX$4)*(1-Assumptions!$C$43)/100000</f>
        <v>569.4968693898239</v>
      </c>
      <c r="AY15" s="34">
        <f>AY11*INDEX(Assumptions!$C$32:$G$32,1,AY$4)*(1-Assumptions!$C$43)/100000</f>
        <v>585.1058979370215</v>
      </c>
      <c r="AZ15" s="34">
        <f>AZ11*INDEX(Assumptions!$C$32:$G$32,1,AZ$4)*(1-Assumptions!$C$43)/100000</f>
        <v>601.1427458196412</v>
      </c>
      <c r="BA15" s="34">
        <f>BA11*INDEX(Assumptions!$C$32:$G$32,1,BA$4)*(1-Assumptions!$C$43)/100000</f>
        <v>617.6191389041024</v>
      </c>
      <c r="BB15" s="34">
        <f>BB11*INDEX(Assumptions!$C$32:$G$32,1,BB$4)*(1-Assumptions!$C$43)/100000</f>
        <v>634.5471244447067</v>
      </c>
      <c r="BC15" s="34">
        <f>BC11*INDEX(Assumptions!$C$32:$G$32,1,BC$4)*(1-Assumptions!$C$43)/100000</f>
        <v>651.9390798923529</v>
      </c>
    </row>
    <row r="16">
      <c r="A16" s="4" t="inlineStr">
        <is>
          <t>Success fees (collected)</t>
        </is>
      </c>
      <c r="B16" s="2" t="inlineStr">
        <is>
          <t>₹ lakh</t>
        </is>
      </c>
      <c r="C16" s="34">
        <f>C12*C13*Assumptions!$C$41*Assumptions!$C$42/100000</f>
        <v>0.0</v>
      </c>
      <c r="D16" s="34">
        <f>D12*D13*Assumptions!$C$41*Assumptions!$C$42/100000</f>
        <v>0.0</v>
      </c>
      <c r="E16" s="34">
        <f>E12*E13*Assumptions!$C$41*Assumptions!$C$42/100000</f>
        <v>2.3989616639999998</v>
      </c>
      <c r="F16" s="34">
        <f>F12*F13*Assumptions!$C$41*Assumptions!$C$42/100000</f>
        <v>4.198182912</v>
      </c>
      <c r="G16" s="34">
        <f>G12*G13*Assumptions!$C$41*Assumptions!$C$42/100000</f>
        <v>5.997404159999999</v>
      </c>
      <c r="H16" s="34">
        <f>H12*H13*Assumptions!$C$41*Assumptions!$C$42/100000</f>
        <v>7.662200832</v>
      </c>
      <c r="I16" s="34">
        <f>I12*I13*Assumptions!$C$41*Assumptions!$C$42/100000</f>
        <v>9.430401023999998</v>
      </c>
      <c r="J16" s="34">
        <f>J12*J13*Assumptions!$C$41*Assumptions!$C$42/100000</f>
        <v>10.757612544917343</v>
      </c>
      <c r="K16" s="34">
        <f>K12*K13*Assumptions!$C$41*Assumptions!$C$42/100000</f>
        <v>12.27161256154881</v>
      </c>
      <c r="L16" s="34">
        <f>L12*L13*Assumptions!$C$41*Assumptions!$C$42/100000</f>
        <v>13.998689228858074</v>
      </c>
      <c r="M16" s="34">
        <f>M12*M13*Assumptions!$C$41*Assumptions!$C$42/100000</f>
        <v>15.968830432291227</v>
      </c>
      <c r="N16" s="34">
        <f>N12*N13*Assumptions!$C$41*Assumptions!$C$42/100000</f>
        <v>18.21624447877468</v>
      </c>
      <c r="O16" s="34">
        <f>O12*O13*Assumptions!$C$41*Assumptions!$C$42/100000</f>
        <v>20.779954068488475</v>
      </c>
      <c r="P16" s="34">
        <f>P12*P13*Assumptions!$C$41*Assumptions!$C$42/100000</f>
        <v>23.70447386076881</v>
      </c>
      <c r="Q16" s="34">
        <f>Q12*Q13*Assumptions!$C$41*Assumptions!$C$42/100000</f>
        <v>27.040583398976807</v>
      </c>
      <c r="R16" s="34">
        <f>R12*R13*Assumptions!$C$41*Assumptions!$C$42/100000</f>
        <v>30.84620881491726</v>
      </c>
      <c r="S16" s="34">
        <f>S12*S13*Assumptions!$C$41*Assumptions!$C$42/100000</f>
        <v>35.18742862217544</v>
      </c>
      <c r="T16" s="34">
        <f>T12*T13*Assumptions!$C$41*Assumptions!$C$42/100000</f>
        <v>39.43541718405663</v>
      </c>
      <c r="U16" s="34">
        <f>U12*U13*Assumptions!$C$41*Assumptions!$C$42/100000</f>
        <v>44.98546112022177</v>
      </c>
      <c r="V16" s="34">
        <f>V12*V13*Assumptions!$C$41*Assumptions!$C$42/100000</f>
        <v>48.19192370936598</v>
      </c>
      <c r="W16" s="34">
        <f>W12*W13*Assumptions!$C$41*Assumptions!$C$42/100000</f>
        <v>51.62693574714431</v>
      </c>
      <c r="X16" s="34">
        <f>X12*X13*Assumptions!$C$41*Assumptions!$C$42/100000</f>
        <v>55.30678772471978</v>
      </c>
      <c r="Y16" s="34">
        <f>Y12*Y13*Assumptions!$C$41*Assumptions!$C$42/100000</f>
        <v>59.24893128286013</v>
      </c>
      <c r="Z16" s="34">
        <f>Z12*Z13*Assumptions!$C$41*Assumptions!$C$42/100000</f>
        <v>63.47206197607551</v>
      </c>
      <c r="AA16" s="34">
        <f>AA12*AA13*Assumptions!$C$41*Assumptions!$C$42/100000</f>
        <v>67.99620793599375</v>
      </c>
      <c r="AB16" s="34">
        <f>AB12*AB13*Assumptions!$C$41*Assumptions!$C$42/100000</f>
        <v>72.84282485446383</v>
      </c>
      <c r="AC16" s="34">
        <f>AC12*AC13*Assumptions!$C$41*Assumptions!$C$42/100000</f>
        <v>78.03489773683896</v>
      </c>
      <c r="AD16" s="34">
        <f>AD12*AD13*Assumptions!$C$41*Assumptions!$C$42/100000</f>
        <v>83.59704990800702</v>
      </c>
      <c r="AE16" s="34">
        <f>AE12*AE13*Assumptions!$C$41*Assumptions!$C$42/100000</f>
        <v>89.55565978813011</v>
      </c>
      <c r="AF16" s="34">
        <f>AF12*AF13*Assumptions!$C$41*Assumptions!$C$42/100000</f>
        <v>94.22578981346017</v>
      </c>
      <c r="AG16" s="34">
        <f>AG12*AG13*Assumptions!$C$41*Assumptions!$C$42/100000</f>
        <v>100.94199239193324</v>
      </c>
      <c r="AH16" s="34">
        <f>AH12*AH13*Assumptions!$C$41*Assumptions!$C$42/100000</f>
        <v>106.7672507167474</v>
      </c>
      <c r="AI16" s="34">
        <f>AI12*AI13*Assumptions!$C$41*Assumptions!$C$42/100000</f>
        <v>112.92867869451683</v>
      </c>
      <c r="AJ16" s="34">
        <f>AJ12*AJ13*Assumptions!$C$41*Assumptions!$C$42/100000</f>
        <v>119.44567632936963</v>
      </c>
      <c r="AK16" s="34">
        <f>AK12*AK13*Assumptions!$C$41*Assumptions!$C$42/100000</f>
        <v>126.33876317967879</v>
      </c>
      <c r="AL16" s="34">
        <f>AL12*AL13*Assumptions!$C$41*Assumptions!$C$42/100000</f>
        <v>133.62964296637625</v>
      </c>
      <c r="AM16" s="34">
        <f>AM12*AM13*Assumptions!$C$41*Assumptions!$C$42/100000</f>
        <v>141.34127190975462</v>
      </c>
      <c r="AN16" s="34">
        <f>AN12*AN13*Assumptions!$C$41*Assumptions!$C$42/100000</f>
        <v>149.4979310099189</v>
      </c>
      <c r="AO16" s="34">
        <f>AO12*AO13*Assumptions!$C$41*Assumptions!$C$42/100000</f>
        <v>158.1253024984543</v>
      </c>
      <c r="AP16" s="34">
        <f>AP12*AP13*Assumptions!$C$41*Assumptions!$C$42/100000</f>
        <v>167.2505507020602</v>
      </c>
      <c r="AQ16" s="34">
        <f>AQ12*AQ13*Assumptions!$C$41*Assumptions!$C$42/100000</f>
        <v>176.9024075727293</v>
      </c>
      <c r="AR16" s="34">
        <f>AR12*AR13*Assumptions!$C$41*Assumptions!$C$42/100000</f>
        <v>183.70924018734917</v>
      </c>
      <c r="AS16" s="34">
        <f>AS12*AS13*Assumptions!$C$41*Assumptions!$C$42/100000</f>
        <v>194.310911061763</v>
      </c>
      <c r="AT16" s="34">
        <f>AT12*AT13*Assumptions!$C$41*Assumptions!$C$42/100000</f>
        <v>199.63667266084607</v>
      </c>
      <c r="AU16" s="34">
        <f>AU12*AU13*Assumptions!$C$41*Assumptions!$C$42/100000</f>
        <v>205.10840514985804</v>
      </c>
      <c r="AV16" s="34">
        <f>AV12*AV13*Assumptions!$C$41*Assumptions!$C$42/100000</f>
        <v>210.7301093651687</v>
      </c>
      <c r="AW16" s="34">
        <f>AW12*AW13*Assumptions!$C$41*Assumptions!$C$42/100000</f>
        <v>216.5058957998832</v>
      </c>
      <c r="AX16" s="34">
        <f>AX12*AX13*Assumptions!$C$41*Assumptions!$C$42/100000</f>
        <v>222.4399876093741</v>
      </c>
      <c r="AY16" s="34">
        <f>AY12*AY13*Assumptions!$C$41*Assumptions!$C$42/100000</f>
        <v>228.53672369916774</v>
      </c>
      <c r="AZ16" s="34">
        <f>AZ12*AZ13*Assumptions!$C$41*Assumptions!$C$42/100000</f>
        <v>234.80056189748026</v>
      </c>
      <c r="BA16" s="34">
        <f>BA12*BA13*Assumptions!$C$41*Assumptions!$C$42/100000</f>
        <v>241.236082214708</v>
      </c>
      <c r="BB16" s="34">
        <f>BB12*BB13*Assumptions!$C$41*Assumptions!$C$42/100000</f>
        <v>247.84799019224957</v>
      </c>
      <c r="BC16" s="34">
        <f>BC12*BC13*Assumptions!$C$41*Assumptions!$C$42/100000</f>
        <v>254.6411203431146</v>
      </c>
    </row>
    <row r="17">
      <c r="A17" s="4" t="inlineStr">
        <is>
          <t>Loan origination</t>
        </is>
      </c>
      <c r="B17" s="2" t="inlineStr">
        <is>
          <t>₹ lakh</t>
        </is>
      </c>
      <c r="C17" s="34">
        <f>C12*Assumptions!$C$44*Assumptions!$C$45*Assumptions!$C$46/100000</f>
        <v>0.0</v>
      </c>
      <c r="D17" s="34">
        <f>D12*Assumptions!$C$44*Assumptions!$C$45*Assumptions!$C$46/100000</f>
        <v>0.0</v>
      </c>
      <c r="E17" s="34">
        <f>E12*Assumptions!$C$44*Assumptions!$C$45*Assumptions!$C$46/100000</f>
        <v>0.4257791999999999</v>
      </c>
      <c r="F17" s="34">
        <f>F12*Assumptions!$C$44*Assumptions!$C$45*Assumptions!$C$46/100000</f>
        <v>0.7451136</v>
      </c>
      <c r="G17" s="34">
        <f>G12*Assumptions!$C$44*Assumptions!$C$45*Assumptions!$C$46/100000</f>
        <v>1.064448</v>
      </c>
      <c r="H17" s="34">
        <f>H12*Assumptions!$C$44*Assumptions!$C$45*Assumptions!$C$46/100000</f>
        <v>1.3837823999999999</v>
      </c>
      <c r="I17" s="34">
        <f>I12*Assumptions!$C$44*Assumptions!$C$45*Assumptions!$C$46/100000</f>
        <v>1.7031167999999997</v>
      </c>
      <c r="J17" s="34">
        <f>J12*Assumptions!$C$44*Assumptions!$C$45*Assumptions!$C$46/100000</f>
        <v>1.942809283137807</v>
      </c>
      <c r="K17" s="34">
        <f>K12*Assumptions!$C$44*Assumptions!$C$45*Assumptions!$C$46/100000</f>
        <v>2.2162354987317254</v>
      </c>
      <c r="L17" s="34">
        <f>L12*Assumptions!$C$44*Assumptions!$C$45*Assumptions!$C$46/100000</f>
        <v>2.5281430495873716</v>
      </c>
      <c r="M17" s="34">
        <f>M12*Assumptions!$C$44*Assumptions!$C$45*Assumptions!$C$46/100000</f>
        <v>2.8839477044901596</v>
      </c>
      <c r="N17" s="34">
        <f>N12*Assumptions!$C$44*Assumptions!$C$45*Assumptions!$C$46/100000</f>
        <v>3.289827434247233</v>
      </c>
      <c r="O17" s="34">
        <f>O12*Assumptions!$C$44*Assumptions!$C$45*Assumptions!$C$46/100000</f>
        <v>3.752829682131561</v>
      </c>
      <c r="P17" s="34">
        <f>P12*Assumptions!$C$44*Assumptions!$C$45*Assumptions!$C$46/100000</f>
        <v>4.280993731304997</v>
      </c>
      <c r="Q17" s="34">
        <f>Q12*Assumptions!$C$44*Assumptions!$C$45*Assumptions!$C$46/100000</f>
        <v>4.88349029393286</v>
      </c>
      <c r="R17" s="34">
        <f>R12*Assumptions!$C$44*Assumptions!$C$45*Assumptions!$C$46/100000</f>
        <v>5.570780745728092</v>
      </c>
      <c r="S17" s="34">
        <f>S12*Assumptions!$C$44*Assumptions!$C$45*Assumptions!$C$46/100000</f>
        <v>6.354798770774717</v>
      </c>
      <c r="T17" s="34">
        <f>T12*Assumptions!$C$44*Assumptions!$C$45*Assumptions!$C$46/100000</f>
        <v>7.249157570598645</v>
      </c>
      <c r="U17" s="34">
        <f>U12*Assumptions!$C$44*Assumptions!$C$45*Assumptions!$C$46/100000</f>
        <v>8.269386235334883</v>
      </c>
      <c r="V17" s="34">
        <f>V12*Assumptions!$C$44*Assumptions!$C$45*Assumptions!$C$46/100000</f>
        <v>8.858809505398158</v>
      </c>
      <c r="W17" s="34">
        <f>W12*Assumptions!$C$44*Assumptions!$C$45*Assumptions!$C$46/100000</f>
        <v>9.490245541754467</v>
      </c>
      <c r="X17" s="34">
        <f>X12*Assumptions!$C$44*Assumptions!$C$45*Assumptions!$C$46/100000</f>
        <v>10.166688919985255</v>
      </c>
      <c r="Y17" s="34">
        <f>Y12*Assumptions!$C$44*Assumptions!$C$45*Assumptions!$C$46/100000</f>
        <v>10.891347662290466</v>
      </c>
      <c r="Z17" s="34">
        <f>Z12*Assumptions!$C$44*Assumptions!$C$45*Assumptions!$C$46/100000</f>
        <v>11.667658451484467</v>
      </c>
      <c r="AA17" s="34">
        <f>AA12*Assumptions!$C$44*Assumptions!$C$45*Assumptions!$C$46/100000</f>
        <v>12.499302929410618</v>
      </c>
      <c r="AB17" s="34">
        <f>AB12*Assumptions!$C$44*Assumptions!$C$45*Assumptions!$C$46/100000</f>
        <v>13.390225157070558</v>
      </c>
      <c r="AC17" s="34">
        <f>AC12*Assumptions!$C$44*Assumptions!$C$45*Assumptions!$C$46/100000</f>
        <v>14.344650319271866</v>
      </c>
      <c r="AD17" s="34">
        <f>AD12*Assumptions!$C$44*Assumptions!$C$45*Assumptions!$C$46/100000</f>
        <v>15.367104762501294</v>
      </c>
      <c r="AE17" s="34">
        <f>AE12*Assumptions!$C$44*Assumptions!$C$45*Assumptions!$C$46/100000</f>
        <v>16.46243746105333</v>
      </c>
      <c r="AF17" s="34">
        <f>AF12*Assumptions!$C$44*Assumptions!$C$45*Assumptions!$C$46/100000</f>
        <v>17.635843013214473</v>
      </c>
      <c r="AG17" s="34">
        <f>AG12*Assumptions!$C$44*Assumptions!$C$45*Assumptions!$C$46/100000</f>
        <v>18.892886276565047</v>
      </c>
      <c r="AH17" s="34">
        <f>AH12*Assumptions!$C$44*Assumptions!$C$45*Assumptions!$C$46/100000</f>
        <v>19.983175267840423</v>
      </c>
      <c r="AI17" s="34">
        <f>AI12*Assumptions!$C$44*Assumptions!$C$45*Assumptions!$C$46/100000</f>
        <v>21.13638371287748</v>
      </c>
      <c r="AJ17" s="34">
        <f>AJ12*Assumptions!$C$44*Assumptions!$C$45*Assumptions!$C$46/100000</f>
        <v>22.356142628491646</v>
      </c>
      <c r="AK17" s="34">
        <f>AK12*Assumptions!$C$44*Assumptions!$C$45*Assumptions!$C$46/100000</f>
        <v>23.64629257373667</v>
      </c>
      <c r="AL17" s="34">
        <f>AL12*Assumptions!$C$44*Assumptions!$C$45*Assumptions!$C$46/100000</f>
        <v>25.010895742369886</v>
      </c>
      <c r="AM17" s="34">
        <f>AM12*Assumptions!$C$44*Assumptions!$C$45*Assumptions!$C$46/100000</f>
        <v>26.454248753162627</v>
      </c>
      <c r="AN17" s="34">
        <f>AN12*Assumptions!$C$44*Assumptions!$C$45*Assumptions!$C$46/100000</f>
        <v>27.980896178327068</v>
      </c>
      <c r="AO17" s="34">
        <f>AO12*Assumptions!$C$44*Assumptions!$C$45*Assumptions!$C$46/100000</f>
        <v>29.59564485265187</v>
      </c>
      <c r="AP17" s="34">
        <f>AP12*Assumptions!$C$44*Assumptions!$C$45*Assumptions!$C$46/100000</f>
        <v>31.303579008406977</v>
      </c>
      <c r="AQ17" s="34">
        <f>AQ12*Assumptions!$C$44*Assumptions!$C$45*Assumptions!$C$46/100000</f>
        <v>33.11007628366591</v>
      </c>
      <c r="AR17" s="34">
        <f>AR12*Assumptions!$C$44*Assumptions!$C$45*Assumptions!$C$46/100000</f>
        <v>35.02082465445109</v>
      </c>
      <c r="AS17" s="34">
        <f>AS12*Assumptions!$C$44*Assumptions!$C$45*Assumptions!$C$46/100000</f>
        <v>37.041840344018</v>
      </c>
      <c r="AT17" s="34">
        <f>AT12*Assumptions!$C$44*Assumptions!$C$45*Assumptions!$C$46/100000</f>
        <v>38.05709990811335</v>
      </c>
      <c r="AU17" s="34">
        <f>AU12*Assumptions!$C$44*Assumptions!$C$45*Assumptions!$C$46/100000</f>
        <v>39.100186166911925</v>
      </c>
      <c r="AV17" s="34">
        <f>AV12*Assumptions!$C$44*Assumptions!$C$45*Assumptions!$C$46/100000</f>
        <v>40.171861807085534</v>
      </c>
      <c r="AW17" s="34">
        <f>AW12*Assumptions!$C$44*Assumptions!$C$45*Assumptions!$C$46/100000</f>
        <v>41.272910419367705</v>
      </c>
      <c r="AX17" s="34">
        <f>AX12*Assumptions!$C$44*Assumptions!$C$45*Assumptions!$C$46/100000</f>
        <v>42.404137071503776</v>
      </c>
      <c r="AY17" s="34">
        <f>AY12*Assumptions!$C$44*Assumptions!$C$45*Assumptions!$C$46/100000</f>
        <v>43.566368896900165</v>
      </c>
      <c r="AZ17" s="34">
        <f>AZ12*Assumptions!$C$44*Assumptions!$C$45*Assumptions!$C$46/100000</f>
        <v>44.76045569941073</v>
      </c>
      <c r="BA17" s="34">
        <f>BA12*Assumptions!$C$44*Assumptions!$C$45*Assumptions!$C$46/100000</f>
        <v>45.98727057469924</v>
      </c>
      <c r="BB17" s="34">
        <f>BB12*Assumptions!$C$44*Assumptions!$C$45*Assumptions!$C$46/100000</f>
        <v>47.24771054863145</v>
      </c>
      <c r="BC17" s="34">
        <f>BC12*Assumptions!$C$44*Assumptions!$C$45*Assumptions!$C$46/100000</f>
        <v>48.542697233164546</v>
      </c>
    </row>
    <row r="18">
      <c r="A18" s="4" t="inlineStr">
        <is>
          <t>Paying SaaS installers</t>
        </is>
      </c>
      <c r="B18" s="2" t="inlineStr">
        <is>
          <t>count (ramp)</t>
        </is>
      </c>
      <c r="C18" s="34">
        <f>(INDEX(Assumptions!$C$34:$G$34,1,C$4)+(INDEX(Assumptions!$C$34:$G$34,1,C$4)-IF(C$4=1,0,INDEX(Assumptions!$C$34:$G$34,1,MAX(1,C$4-1))))*(C$5-(C$6+1)/2)/C$6)</f>
        <v>18.0</v>
      </c>
      <c r="D18" s="34">
        <f>(INDEX(Assumptions!$C$34:$G$34,1,D$4)+(INDEX(Assumptions!$C$34:$G$34,1,D$4)-IF(D$4=1,0,INDEX(Assumptions!$C$34:$G$34,1,MAX(1,D$4-1))))*(D$5-(D$6+1)/2)/D$6)</f>
        <v>24.0</v>
      </c>
      <c r="E18" s="34">
        <f>(INDEX(Assumptions!$C$34:$G$34,1,E$4)+(INDEX(Assumptions!$C$34:$G$34,1,E$4)-IF(E$4=1,0,INDEX(Assumptions!$C$34:$G$34,1,MAX(1,E$4-1))))*(E$5-(E$6+1)/2)/E$6)</f>
        <v>30.0</v>
      </c>
      <c r="F18" s="34">
        <f>(INDEX(Assumptions!$C$34:$G$34,1,F$4)+(INDEX(Assumptions!$C$34:$G$34,1,F$4)-IF(F$4=1,0,INDEX(Assumptions!$C$34:$G$34,1,MAX(1,F$4-1))))*(F$5-(F$6+1)/2)/F$6)</f>
        <v>36.0</v>
      </c>
      <c r="G18" s="34">
        <f>(INDEX(Assumptions!$C$34:$G$34,1,G$4)+(INDEX(Assumptions!$C$34:$G$34,1,G$4)-IF(G$4=1,0,INDEX(Assumptions!$C$34:$G$34,1,MAX(1,G$4-1))))*(G$5-(G$6+1)/2)/G$6)</f>
        <v>42.0</v>
      </c>
      <c r="H18" s="34">
        <f>(INDEX(Assumptions!$C$34:$G$34,1,H$4)+(INDEX(Assumptions!$C$34:$G$34,1,H$4)-IF(H$4=1,0,INDEX(Assumptions!$C$34:$G$34,1,MAX(1,H$4-1))))*(H$5-(H$6+1)/2)/H$6)</f>
        <v>208.75</v>
      </c>
      <c r="I18" s="34">
        <f>(INDEX(Assumptions!$C$34:$G$34,1,I$4)+(INDEX(Assumptions!$C$34:$G$34,1,I$4)-IF(I$4=1,0,INDEX(Assumptions!$C$34:$G$34,1,MAX(1,I$4-1))))*(I$5-(I$6+1)/2)/I$6)</f>
        <v>236.25</v>
      </c>
      <c r="J18" s="34">
        <f>(INDEX(Assumptions!$C$34:$G$34,1,J$4)+(INDEX(Assumptions!$C$34:$G$34,1,J$4)-IF(J$4=1,0,INDEX(Assumptions!$C$34:$G$34,1,MAX(1,J$4-1))))*(J$5-(J$6+1)/2)/J$6)</f>
        <v>263.75</v>
      </c>
      <c r="K18" s="34">
        <f>(INDEX(Assumptions!$C$34:$G$34,1,K$4)+(INDEX(Assumptions!$C$34:$G$34,1,K$4)-IF(K$4=1,0,INDEX(Assumptions!$C$34:$G$34,1,MAX(1,K$4-1))))*(K$5-(K$6+1)/2)/K$6)</f>
        <v>291.25</v>
      </c>
      <c r="L18" s="34">
        <f>(INDEX(Assumptions!$C$34:$G$34,1,L$4)+(INDEX(Assumptions!$C$34:$G$34,1,L$4)-IF(L$4=1,0,INDEX(Assumptions!$C$34:$G$34,1,MAX(1,L$4-1))))*(L$5-(L$6+1)/2)/L$6)</f>
        <v>318.75</v>
      </c>
      <c r="M18" s="34">
        <f>(INDEX(Assumptions!$C$34:$G$34,1,M$4)+(INDEX(Assumptions!$C$34:$G$34,1,M$4)-IF(M$4=1,0,INDEX(Assumptions!$C$34:$G$34,1,MAX(1,M$4-1))))*(M$5-(M$6+1)/2)/M$6)</f>
        <v>346.25</v>
      </c>
      <c r="N18" s="34">
        <f>(INDEX(Assumptions!$C$34:$G$34,1,N$4)+(INDEX(Assumptions!$C$34:$G$34,1,N$4)-IF(N$4=1,0,INDEX(Assumptions!$C$34:$G$34,1,MAX(1,N$4-1))))*(N$5-(N$6+1)/2)/N$6)</f>
        <v>373.75</v>
      </c>
      <c r="O18" s="34">
        <f>(INDEX(Assumptions!$C$34:$G$34,1,O$4)+(INDEX(Assumptions!$C$34:$G$34,1,O$4)-IF(O$4=1,0,INDEX(Assumptions!$C$34:$G$34,1,MAX(1,O$4-1))))*(O$5-(O$6+1)/2)/O$6)</f>
        <v>401.25</v>
      </c>
      <c r="P18" s="34">
        <f>(INDEX(Assumptions!$C$34:$G$34,1,P$4)+(INDEX(Assumptions!$C$34:$G$34,1,P$4)-IF(P$4=1,0,INDEX(Assumptions!$C$34:$G$34,1,MAX(1,P$4-1))))*(P$5-(P$6+1)/2)/P$6)</f>
        <v>428.75</v>
      </c>
      <c r="Q18" s="34">
        <f>(INDEX(Assumptions!$C$34:$G$34,1,Q$4)+(INDEX(Assumptions!$C$34:$G$34,1,Q$4)-IF(Q$4=1,0,INDEX(Assumptions!$C$34:$G$34,1,MAX(1,Q$4-1))))*(Q$5-(Q$6+1)/2)/Q$6)</f>
        <v>456.25</v>
      </c>
      <c r="R18" s="34">
        <f>(INDEX(Assumptions!$C$34:$G$34,1,R$4)+(INDEX(Assumptions!$C$34:$G$34,1,R$4)-IF(R$4=1,0,INDEX(Assumptions!$C$34:$G$34,1,MAX(1,R$4-1))))*(R$5-(R$6+1)/2)/R$6)</f>
        <v>483.75</v>
      </c>
      <c r="S18" s="34">
        <f>(INDEX(Assumptions!$C$34:$G$34,1,S$4)+(INDEX(Assumptions!$C$34:$G$34,1,S$4)-IF(S$4=1,0,INDEX(Assumptions!$C$34:$G$34,1,MAX(1,S$4-1))))*(S$5-(S$6+1)/2)/S$6)</f>
        <v>511.25</v>
      </c>
      <c r="T18" s="34">
        <f>(INDEX(Assumptions!$C$34:$G$34,1,T$4)+(INDEX(Assumptions!$C$34:$G$34,1,T$4)-IF(T$4=1,0,INDEX(Assumptions!$C$34:$G$34,1,MAX(1,T$4-1))))*(T$5-(T$6+1)/2)/T$6)</f>
        <v>750.0</v>
      </c>
      <c r="U18" s="34">
        <f>(INDEX(Assumptions!$C$34:$G$34,1,U$4)+(INDEX(Assumptions!$C$34:$G$34,1,U$4)-IF(U$4=1,0,INDEX(Assumptions!$C$34:$G$34,1,MAX(1,U$4-1))))*(U$5-(U$6+1)/2)/U$6)</f>
        <v>810.0</v>
      </c>
      <c r="V18" s="34">
        <f>(INDEX(Assumptions!$C$34:$G$34,1,V$4)+(INDEX(Assumptions!$C$34:$G$34,1,V$4)-IF(V$4=1,0,INDEX(Assumptions!$C$34:$G$34,1,MAX(1,V$4-1))))*(V$5-(V$6+1)/2)/V$6)</f>
        <v>870.0</v>
      </c>
      <c r="W18" s="34">
        <f>(INDEX(Assumptions!$C$34:$G$34,1,W$4)+(INDEX(Assumptions!$C$34:$G$34,1,W$4)-IF(W$4=1,0,INDEX(Assumptions!$C$34:$G$34,1,MAX(1,W$4-1))))*(W$5-(W$6+1)/2)/W$6)</f>
        <v>930.0</v>
      </c>
      <c r="X18" s="34">
        <f>(INDEX(Assumptions!$C$34:$G$34,1,X$4)+(INDEX(Assumptions!$C$34:$G$34,1,X$4)-IF(X$4=1,0,INDEX(Assumptions!$C$34:$G$34,1,MAX(1,X$4-1))))*(X$5-(X$6+1)/2)/X$6)</f>
        <v>990.0</v>
      </c>
      <c r="Y18" s="34">
        <f>(INDEX(Assumptions!$C$34:$G$34,1,Y$4)+(INDEX(Assumptions!$C$34:$G$34,1,Y$4)-IF(Y$4=1,0,INDEX(Assumptions!$C$34:$G$34,1,MAX(1,Y$4-1))))*(Y$5-(Y$6+1)/2)/Y$6)</f>
        <v>1050.0</v>
      </c>
      <c r="Z18" s="34">
        <f>(INDEX(Assumptions!$C$34:$G$34,1,Z$4)+(INDEX(Assumptions!$C$34:$G$34,1,Z$4)-IF(Z$4=1,0,INDEX(Assumptions!$C$34:$G$34,1,MAX(1,Z$4-1))))*(Z$5-(Z$6+1)/2)/Z$6)</f>
        <v>1110.0</v>
      </c>
      <c r="AA18" s="34">
        <f>(INDEX(Assumptions!$C$34:$G$34,1,AA$4)+(INDEX(Assumptions!$C$34:$G$34,1,AA$4)-IF(AA$4=1,0,INDEX(Assumptions!$C$34:$G$34,1,MAX(1,AA$4-1))))*(AA$5-(AA$6+1)/2)/AA$6)</f>
        <v>1170.0</v>
      </c>
      <c r="AB18" s="34">
        <f>(INDEX(Assumptions!$C$34:$G$34,1,AB$4)+(INDEX(Assumptions!$C$34:$G$34,1,AB$4)-IF(AB$4=1,0,INDEX(Assumptions!$C$34:$G$34,1,MAX(1,AB$4-1))))*(AB$5-(AB$6+1)/2)/AB$6)</f>
        <v>1230.0</v>
      </c>
      <c r="AC18" s="34">
        <f>(INDEX(Assumptions!$C$34:$G$34,1,AC$4)+(INDEX(Assumptions!$C$34:$G$34,1,AC$4)-IF(AC$4=1,0,INDEX(Assumptions!$C$34:$G$34,1,MAX(1,AC$4-1))))*(AC$5-(AC$6+1)/2)/AC$6)</f>
        <v>1290.0</v>
      </c>
      <c r="AD18" s="34">
        <f>(INDEX(Assumptions!$C$34:$G$34,1,AD$4)+(INDEX(Assumptions!$C$34:$G$34,1,AD$4)-IF(AD$4=1,0,INDEX(Assumptions!$C$34:$G$34,1,MAX(1,AD$4-1))))*(AD$5-(AD$6+1)/2)/AD$6)</f>
        <v>1350.0</v>
      </c>
      <c r="AE18" s="34">
        <f>(INDEX(Assumptions!$C$34:$G$34,1,AE$4)+(INDEX(Assumptions!$C$34:$G$34,1,AE$4)-IF(AE$4=1,0,INDEX(Assumptions!$C$34:$G$34,1,MAX(1,AE$4-1))))*(AE$5-(AE$6+1)/2)/AE$6)</f>
        <v>1410.0</v>
      </c>
      <c r="AF18" s="34">
        <f>(INDEX(Assumptions!$C$34:$G$34,1,AF$4)+(INDEX(Assumptions!$C$34:$G$34,1,AF$4)-IF(AF$4=1,0,INDEX(Assumptions!$C$34:$G$34,1,MAX(1,AF$4-1))))*(AF$5-(AF$6+1)/2)/AF$6)</f>
        <v>1535.0</v>
      </c>
      <c r="AG18" s="34">
        <f>(INDEX(Assumptions!$C$34:$G$34,1,AG$4)+(INDEX(Assumptions!$C$34:$G$34,1,AG$4)-IF(AG$4=1,0,INDEX(Assumptions!$C$34:$G$34,1,MAX(1,AG$4-1))))*(AG$5-(AG$6+1)/2)/AG$6)</f>
        <v>1605.0</v>
      </c>
      <c r="AH18" s="34">
        <f>(INDEX(Assumptions!$C$34:$G$34,1,AH$4)+(INDEX(Assumptions!$C$34:$G$34,1,AH$4)-IF(AH$4=1,0,INDEX(Assumptions!$C$34:$G$34,1,MAX(1,AH$4-1))))*(AH$5-(AH$6+1)/2)/AH$6)</f>
        <v>1675.0</v>
      </c>
      <c r="AI18" s="34">
        <f>(INDEX(Assumptions!$C$34:$G$34,1,AI$4)+(INDEX(Assumptions!$C$34:$G$34,1,AI$4)-IF(AI$4=1,0,INDEX(Assumptions!$C$34:$G$34,1,MAX(1,AI$4-1))))*(AI$5-(AI$6+1)/2)/AI$6)</f>
        <v>1745.0</v>
      </c>
      <c r="AJ18" s="34">
        <f>(INDEX(Assumptions!$C$34:$G$34,1,AJ$4)+(INDEX(Assumptions!$C$34:$G$34,1,AJ$4)-IF(AJ$4=1,0,INDEX(Assumptions!$C$34:$G$34,1,MAX(1,AJ$4-1))))*(AJ$5-(AJ$6+1)/2)/AJ$6)</f>
        <v>1815.0</v>
      </c>
      <c r="AK18" s="34">
        <f>(INDEX(Assumptions!$C$34:$G$34,1,AK$4)+(INDEX(Assumptions!$C$34:$G$34,1,AK$4)-IF(AK$4=1,0,INDEX(Assumptions!$C$34:$G$34,1,MAX(1,AK$4-1))))*(AK$5-(AK$6+1)/2)/AK$6)</f>
        <v>1885.0</v>
      </c>
      <c r="AL18" s="34">
        <f>(INDEX(Assumptions!$C$34:$G$34,1,AL$4)+(INDEX(Assumptions!$C$34:$G$34,1,AL$4)-IF(AL$4=1,0,INDEX(Assumptions!$C$34:$G$34,1,MAX(1,AL$4-1))))*(AL$5-(AL$6+1)/2)/AL$6)</f>
        <v>1955.0</v>
      </c>
      <c r="AM18" s="34">
        <f>(INDEX(Assumptions!$C$34:$G$34,1,AM$4)+(INDEX(Assumptions!$C$34:$G$34,1,AM$4)-IF(AM$4=1,0,INDEX(Assumptions!$C$34:$G$34,1,MAX(1,AM$4-1))))*(AM$5-(AM$6+1)/2)/AM$6)</f>
        <v>2025.0</v>
      </c>
      <c r="AN18" s="34">
        <f>(INDEX(Assumptions!$C$34:$G$34,1,AN$4)+(INDEX(Assumptions!$C$34:$G$34,1,AN$4)-IF(AN$4=1,0,INDEX(Assumptions!$C$34:$G$34,1,MAX(1,AN$4-1))))*(AN$5-(AN$6+1)/2)/AN$6)</f>
        <v>2095.0</v>
      </c>
      <c r="AO18" s="34">
        <f>(INDEX(Assumptions!$C$34:$G$34,1,AO$4)+(INDEX(Assumptions!$C$34:$G$34,1,AO$4)-IF(AO$4=1,0,INDEX(Assumptions!$C$34:$G$34,1,MAX(1,AO$4-1))))*(AO$5-(AO$6+1)/2)/AO$6)</f>
        <v>2165.0</v>
      </c>
      <c r="AP18" s="34">
        <f>(INDEX(Assumptions!$C$34:$G$34,1,AP$4)+(INDEX(Assumptions!$C$34:$G$34,1,AP$4)-IF(AP$4=1,0,INDEX(Assumptions!$C$34:$G$34,1,MAX(1,AP$4-1))))*(AP$5-(AP$6+1)/2)/AP$6)</f>
        <v>2235.0</v>
      </c>
      <c r="AQ18" s="34">
        <f>(INDEX(Assumptions!$C$34:$G$34,1,AQ$4)+(INDEX(Assumptions!$C$34:$G$34,1,AQ$4)-IF(AQ$4=1,0,INDEX(Assumptions!$C$34:$G$34,1,MAX(1,AQ$4-1))))*(AQ$5-(AQ$6+1)/2)/AQ$6)</f>
        <v>2305.0</v>
      </c>
      <c r="AR18" s="34">
        <f>(INDEX(Assumptions!$C$34:$G$34,1,AR$4)+(INDEX(Assumptions!$C$34:$G$34,1,AR$4)-IF(AR$4=1,0,INDEX(Assumptions!$C$34:$G$34,1,MAX(1,AR$4-1))))*(AR$5-(AR$6+1)/2)/AR$6)</f>
        <v>2505.0</v>
      </c>
      <c r="AS18" s="34">
        <f>(INDEX(Assumptions!$C$34:$G$34,1,AS$4)+(INDEX(Assumptions!$C$34:$G$34,1,AS$4)-IF(AS$4=1,0,INDEX(Assumptions!$C$34:$G$34,1,MAX(1,AS$4-1))))*(AS$5-(AS$6+1)/2)/AS$6)</f>
        <v>2595.0</v>
      </c>
      <c r="AT18" s="34">
        <f>(INDEX(Assumptions!$C$34:$G$34,1,AT$4)+(INDEX(Assumptions!$C$34:$G$34,1,AT$4)-IF(AT$4=1,0,INDEX(Assumptions!$C$34:$G$34,1,MAX(1,AT$4-1))))*(AT$5-(AT$6+1)/2)/AT$6)</f>
        <v>2685.0</v>
      </c>
      <c r="AU18" s="34">
        <f>(INDEX(Assumptions!$C$34:$G$34,1,AU$4)+(INDEX(Assumptions!$C$34:$G$34,1,AU$4)-IF(AU$4=1,0,INDEX(Assumptions!$C$34:$G$34,1,MAX(1,AU$4-1))))*(AU$5-(AU$6+1)/2)/AU$6)</f>
        <v>2775.0</v>
      </c>
      <c r="AV18" s="34">
        <f>(INDEX(Assumptions!$C$34:$G$34,1,AV$4)+(INDEX(Assumptions!$C$34:$G$34,1,AV$4)-IF(AV$4=1,0,INDEX(Assumptions!$C$34:$G$34,1,MAX(1,AV$4-1))))*(AV$5-(AV$6+1)/2)/AV$6)</f>
        <v>2865.0</v>
      </c>
      <c r="AW18" s="34">
        <f>(INDEX(Assumptions!$C$34:$G$34,1,AW$4)+(INDEX(Assumptions!$C$34:$G$34,1,AW$4)-IF(AW$4=1,0,INDEX(Assumptions!$C$34:$G$34,1,MAX(1,AW$4-1))))*(AW$5-(AW$6+1)/2)/AW$6)</f>
        <v>2955.0</v>
      </c>
      <c r="AX18" s="34">
        <f>(INDEX(Assumptions!$C$34:$G$34,1,AX$4)+(INDEX(Assumptions!$C$34:$G$34,1,AX$4)-IF(AX$4=1,0,INDEX(Assumptions!$C$34:$G$34,1,MAX(1,AX$4-1))))*(AX$5-(AX$6+1)/2)/AX$6)</f>
        <v>3045.0</v>
      </c>
      <c r="AY18" s="34">
        <f>(INDEX(Assumptions!$C$34:$G$34,1,AY$4)+(INDEX(Assumptions!$C$34:$G$34,1,AY$4)-IF(AY$4=1,0,INDEX(Assumptions!$C$34:$G$34,1,MAX(1,AY$4-1))))*(AY$5-(AY$6+1)/2)/AY$6)</f>
        <v>3135.0</v>
      </c>
      <c r="AZ18" s="34">
        <f>(INDEX(Assumptions!$C$34:$G$34,1,AZ$4)+(INDEX(Assumptions!$C$34:$G$34,1,AZ$4)-IF(AZ$4=1,0,INDEX(Assumptions!$C$34:$G$34,1,MAX(1,AZ$4-1))))*(AZ$5-(AZ$6+1)/2)/AZ$6)</f>
        <v>3225.0</v>
      </c>
      <c r="BA18" s="34">
        <f>(INDEX(Assumptions!$C$34:$G$34,1,BA$4)+(INDEX(Assumptions!$C$34:$G$34,1,BA$4)-IF(BA$4=1,0,INDEX(Assumptions!$C$34:$G$34,1,MAX(1,BA$4-1))))*(BA$5-(BA$6+1)/2)/BA$6)</f>
        <v>3315.0</v>
      </c>
      <c r="BB18" s="34">
        <f>(INDEX(Assumptions!$C$34:$G$34,1,BB$4)+(INDEX(Assumptions!$C$34:$G$34,1,BB$4)-IF(BB$4=1,0,INDEX(Assumptions!$C$34:$G$34,1,MAX(1,BB$4-1))))*(BB$5-(BB$6+1)/2)/BB$6)</f>
        <v>3405.0</v>
      </c>
      <c r="BC18" s="34">
        <f>(INDEX(Assumptions!$C$34:$G$34,1,BC$4)+(INDEX(Assumptions!$C$34:$G$34,1,BC$4)-IF(BC$4=1,0,INDEX(Assumptions!$C$34:$G$34,1,MAX(1,BC$4-1))))*(BC$5-(BC$6+1)/2)/BC$6)</f>
        <v>3495.0</v>
      </c>
    </row>
    <row r="19">
      <c r="A19" s="4" t="inlineStr">
        <is>
          <t>Installer SaaS</t>
        </is>
      </c>
      <c r="B19" s="2" t="inlineStr">
        <is>
          <t>₹ lakh</t>
        </is>
      </c>
      <c r="C19" s="34">
        <f>C18*Assumptions!$C$47/100000</f>
        <v>0.53982</v>
      </c>
      <c r="D19" s="34">
        <f>D18*Assumptions!$C$47/100000</f>
        <v>0.71976</v>
      </c>
      <c r="E19" s="34">
        <f>E18*Assumptions!$C$47/100000</f>
        <v>0.8997</v>
      </c>
      <c r="F19" s="34">
        <f>F18*Assumptions!$C$47/100000</f>
        <v>1.07964</v>
      </c>
      <c r="G19" s="34">
        <f>G18*Assumptions!$C$47/100000</f>
        <v>1.25958</v>
      </c>
      <c r="H19" s="34">
        <f>H18*Assumptions!$C$47/100000</f>
        <v>6.2604125</v>
      </c>
      <c r="I19" s="34">
        <f>I18*Assumptions!$C$47/100000</f>
        <v>7.0851375</v>
      </c>
      <c r="J19" s="34">
        <f>J18*Assumptions!$C$47/100000</f>
        <v>7.9098625</v>
      </c>
      <c r="K19" s="34">
        <f>K18*Assumptions!$C$47/100000</f>
        <v>8.7345875</v>
      </c>
      <c r="L19" s="34">
        <f>L18*Assumptions!$C$47/100000</f>
        <v>9.5593125</v>
      </c>
      <c r="M19" s="34">
        <f>M18*Assumptions!$C$47/100000</f>
        <v>10.3840375</v>
      </c>
      <c r="N19" s="34">
        <f>N18*Assumptions!$C$47/100000</f>
        <v>11.2087625</v>
      </c>
      <c r="O19" s="34">
        <f>O18*Assumptions!$C$47/100000</f>
        <v>12.0334875</v>
      </c>
      <c r="P19" s="34">
        <f>P18*Assumptions!$C$47/100000</f>
        <v>12.8582125</v>
      </c>
      <c r="Q19" s="34">
        <f>Q18*Assumptions!$C$47/100000</f>
        <v>13.6829375</v>
      </c>
      <c r="R19" s="34">
        <f>R18*Assumptions!$C$47/100000</f>
        <v>14.5076625</v>
      </c>
      <c r="S19" s="34">
        <f>S18*Assumptions!$C$47/100000</f>
        <v>15.3323875</v>
      </c>
      <c r="T19" s="34">
        <f>T18*Assumptions!$C$47/100000</f>
        <v>22.4925</v>
      </c>
      <c r="U19" s="34">
        <f>U18*Assumptions!$C$47/100000</f>
        <v>24.2919</v>
      </c>
      <c r="V19" s="34">
        <f>V18*Assumptions!$C$47/100000</f>
        <v>26.0913</v>
      </c>
      <c r="W19" s="34">
        <f>W18*Assumptions!$C$47/100000</f>
        <v>27.8907</v>
      </c>
      <c r="X19" s="34">
        <f>X18*Assumptions!$C$47/100000</f>
        <v>29.6901</v>
      </c>
      <c r="Y19" s="34">
        <f>Y18*Assumptions!$C$47/100000</f>
        <v>31.4895</v>
      </c>
      <c r="Z19" s="34">
        <f>Z18*Assumptions!$C$47/100000</f>
        <v>33.2889</v>
      </c>
      <c r="AA19" s="34">
        <f>AA18*Assumptions!$C$47/100000</f>
        <v>35.0883</v>
      </c>
      <c r="AB19" s="34">
        <f>AB18*Assumptions!$C$47/100000</f>
        <v>36.8877</v>
      </c>
      <c r="AC19" s="34">
        <f>AC18*Assumptions!$C$47/100000</f>
        <v>38.6871</v>
      </c>
      <c r="AD19" s="34">
        <f>AD18*Assumptions!$C$47/100000</f>
        <v>40.4865</v>
      </c>
      <c r="AE19" s="34">
        <f>AE18*Assumptions!$C$47/100000</f>
        <v>42.2859</v>
      </c>
      <c r="AF19" s="34">
        <f>AF18*Assumptions!$C$47/100000</f>
        <v>46.03465</v>
      </c>
      <c r="AG19" s="34">
        <f>AG18*Assumptions!$C$47/100000</f>
        <v>48.13395</v>
      </c>
      <c r="AH19" s="34">
        <f>AH18*Assumptions!$C$47/100000</f>
        <v>50.23325</v>
      </c>
      <c r="AI19" s="34">
        <f>AI18*Assumptions!$C$47/100000</f>
        <v>52.33255</v>
      </c>
      <c r="AJ19" s="34">
        <f>AJ18*Assumptions!$C$47/100000</f>
        <v>54.43185</v>
      </c>
      <c r="AK19" s="34">
        <f>AK18*Assumptions!$C$47/100000</f>
        <v>56.53115</v>
      </c>
      <c r="AL19" s="34">
        <f>AL18*Assumptions!$C$47/100000</f>
        <v>58.63045</v>
      </c>
      <c r="AM19" s="34">
        <f>AM18*Assumptions!$C$47/100000</f>
        <v>60.72975</v>
      </c>
      <c r="AN19" s="34">
        <f>AN18*Assumptions!$C$47/100000</f>
        <v>62.82905</v>
      </c>
      <c r="AO19" s="34">
        <f>AO18*Assumptions!$C$47/100000</f>
        <v>64.92835</v>
      </c>
      <c r="AP19" s="34">
        <f>AP18*Assumptions!$C$47/100000</f>
        <v>67.02765</v>
      </c>
      <c r="AQ19" s="34">
        <f>AQ18*Assumptions!$C$47/100000</f>
        <v>69.12695</v>
      </c>
      <c r="AR19" s="34">
        <f>AR18*Assumptions!$C$47/100000</f>
        <v>75.12495</v>
      </c>
      <c r="AS19" s="34">
        <f>AS18*Assumptions!$C$47/100000</f>
        <v>77.82405</v>
      </c>
      <c r="AT19" s="34">
        <f>AT18*Assumptions!$C$47/100000</f>
        <v>80.52315</v>
      </c>
      <c r="AU19" s="34">
        <f>AU18*Assumptions!$C$47/100000</f>
        <v>83.22225</v>
      </c>
      <c r="AV19" s="34">
        <f>AV18*Assumptions!$C$47/100000</f>
        <v>85.92135</v>
      </c>
      <c r="AW19" s="34">
        <f>AW18*Assumptions!$C$47/100000</f>
        <v>88.62045</v>
      </c>
      <c r="AX19" s="34">
        <f>AX18*Assumptions!$C$47/100000</f>
        <v>91.31955</v>
      </c>
      <c r="AY19" s="34">
        <f>AY18*Assumptions!$C$47/100000</f>
        <v>94.01865</v>
      </c>
      <c r="AZ19" s="34">
        <f>AZ18*Assumptions!$C$47/100000</f>
        <v>96.71775</v>
      </c>
      <c r="BA19" s="34">
        <f>BA18*Assumptions!$C$47/100000</f>
        <v>99.41685</v>
      </c>
      <c r="BB19" s="34">
        <f>BB18*Assumptions!$C$47/100000</f>
        <v>102.11595</v>
      </c>
      <c r="BC19" s="34">
        <f>BC18*Assumptions!$C$47/100000</f>
        <v>104.81505</v>
      </c>
    </row>
    <row r="20">
      <c r="A20" s="4" t="inlineStr">
        <is>
          <t>State / DISCOM analytics</t>
        </is>
      </c>
      <c r="B20" s="2" t="inlineStr">
        <is>
          <t>₹ lakh</t>
        </is>
      </c>
      <c r="C20" s="34">
        <f>INDEX(Assumptions!$C$35:$G$35,1,C$4)*Assumptions!$C$48/12</f>
        <v>0.0</v>
      </c>
      <c r="D20" s="34">
        <f>INDEX(Assumptions!$C$35:$G$35,1,D$4)*Assumptions!$C$48/12</f>
        <v>0.0</v>
      </c>
      <c r="E20" s="34">
        <f>INDEX(Assumptions!$C$35:$G$35,1,E$4)*Assumptions!$C$48/12</f>
        <v>0.0</v>
      </c>
      <c r="F20" s="34">
        <f>INDEX(Assumptions!$C$35:$G$35,1,F$4)*Assumptions!$C$48/12</f>
        <v>0.0</v>
      </c>
      <c r="G20" s="34">
        <f>INDEX(Assumptions!$C$35:$G$35,1,G$4)*Assumptions!$C$48/12</f>
        <v>0.0</v>
      </c>
      <c r="H20" s="34">
        <f>INDEX(Assumptions!$C$35:$G$35,1,H$4)*Assumptions!$C$48/12</f>
        <v>3.3333333333333335</v>
      </c>
      <c r="I20" s="34">
        <f>INDEX(Assumptions!$C$35:$G$35,1,I$4)*Assumptions!$C$48/12</f>
        <v>3.3333333333333335</v>
      </c>
      <c r="J20" s="34">
        <f>INDEX(Assumptions!$C$35:$G$35,1,J$4)*Assumptions!$C$48/12</f>
        <v>3.3333333333333335</v>
      </c>
      <c r="K20" s="34">
        <f>INDEX(Assumptions!$C$35:$G$35,1,K$4)*Assumptions!$C$48/12</f>
        <v>3.3333333333333335</v>
      </c>
      <c r="L20" s="34">
        <f>INDEX(Assumptions!$C$35:$G$35,1,L$4)*Assumptions!$C$48/12</f>
        <v>3.3333333333333335</v>
      </c>
      <c r="M20" s="34">
        <f>INDEX(Assumptions!$C$35:$G$35,1,M$4)*Assumptions!$C$48/12</f>
        <v>3.3333333333333335</v>
      </c>
      <c r="N20" s="34">
        <f>INDEX(Assumptions!$C$35:$G$35,1,N$4)*Assumptions!$C$48/12</f>
        <v>3.3333333333333335</v>
      </c>
      <c r="O20" s="34">
        <f>INDEX(Assumptions!$C$35:$G$35,1,O$4)*Assumptions!$C$48/12</f>
        <v>3.3333333333333335</v>
      </c>
      <c r="P20" s="34">
        <f>INDEX(Assumptions!$C$35:$G$35,1,P$4)*Assumptions!$C$48/12</f>
        <v>3.3333333333333335</v>
      </c>
      <c r="Q20" s="34">
        <f>INDEX(Assumptions!$C$35:$G$35,1,Q$4)*Assumptions!$C$48/12</f>
        <v>3.3333333333333335</v>
      </c>
      <c r="R20" s="34">
        <f>INDEX(Assumptions!$C$35:$G$35,1,R$4)*Assumptions!$C$48/12</f>
        <v>3.3333333333333335</v>
      </c>
      <c r="S20" s="34">
        <f>INDEX(Assumptions!$C$35:$G$35,1,S$4)*Assumptions!$C$48/12</f>
        <v>3.3333333333333335</v>
      </c>
      <c r="T20" s="34">
        <f>INDEX(Assumptions!$C$35:$G$35,1,T$4)*Assumptions!$C$48/12</f>
        <v>13.333333333333334</v>
      </c>
      <c r="U20" s="34">
        <f>INDEX(Assumptions!$C$35:$G$35,1,U$4)*Assumptions!$C$48/12</f>
        <v>13.333333333333334</v>
      </c>
      <c r="V20" s="34">
        <f>INDEX(Assumptions!$C$35:$G$35,1,V$4)*Assumptions!$C$48/12</f>
        <v>13.333333333333334</v>
      </c>
      <c r="W20" s="34">
        <f>INDEX(Assumptions!$C$35:$G$35,1,W$4)*Assumptions!$C$48/12</f>
        <v>13.333333333333334</v>
      </c>
      <c r="X20" s="34">
        <f>INDEX(Assumptions!$C$35:$G$35,1,X$4)*Assumptions!$C$48/12</f>
        <v>13.333333333333334</v>
      </c>
      <c r="Y20" s="34">
        <f>INDEX(Assumptions!$C$35:$G$35,1,Y$4)*Assumptions!$C$48/12</f>
        <v>13.333333333333334</v>
      </c>
      <c r="Z20" s="34">
        <f>INDEX(Assumptions!$C$35:$G$35,1,Z$4)*Assumptions!$C$48/12</f>
        <v>13.333333333333334</v>
      </c>
      <c r="AA20" s="34">
        <f>INDEX(Assumptions!$C$35:$G$35,1,AA$4)*Assumptions!$C$48/12</f>
        <v>13.333333333333334</v>
      </c>
      <c r="AB20" s="34">
        <f>INDEX(Assumptions!$C$35:$G$35,1,AB$4)*Assumptions!$C$48/12</f>
        <v>13.333333333333334</v>
      </c>
      <c r="AC20" s="34">
        <f>INDEX(Assumptions!$C$35:$G$35,1,AC$4)*Assumptions!$C$48/12</f>
        <v>13.333333333333334</v>
      </c>
      <c r="AD20" s="34">
        <f>INDEX(Assumptions!$C$35:$G$35,1,AD$4)*Assumptions!$C$48/12</f>
        <v>13.333333333333334</v>
      </c>
      <c r="AE20" s="34">
        <f>INDEX(Assumptions!$C$35:$G$35,1,AE$4)*Assumptions!$C$48/12</f>
        <v>13.333333333333334</v>
      </c>
      <c r="AF20" s="34">
        <f>INDEX(Assumptions!$C$35:$G$35,1,AF$4)*Assumptions!$C$48/12</f>
        <v>23.333333333333332</v>
      </c>
      <c r="AG20" s="34">
        <f>INDEX(Assumptions!$C$35:$G$35,1,AG$4)*Assumptions!$C$48/12</f>
        <v>23.333333333333332</v>
      </c>
      <c r="AH20" s="34">
        <f>INDEX(Assumptions!$C$35:$G$35,1,AH$4)*Assumptions!$C$48/12</f>
        <v>23.333333333333332</v>
      </c>
      <c r="AI20" s="34">
        <f>INDEX(Assumptions!$C$35:$G$35,1,AI$4)*Assumptions!$C$48/12</f>
        <v>23.333333333333332</v>
      </c>
      <c r="AJ20" s="34">
        <f>INDEX(Assumptions!$C$35:$G$35,1,AJ$4)*Assumptions!$C$48/12</f>
        <v>23.333333333333332</v>
      </c>
      <c r="AK20" s="34">
        <f>INDEX(Assumptions!$C$35:$G$35,1,AK$4)*Assumptions!$C$48/12</f>
        <v>23.333333333333332</v>
      </c>
      <c r="AL20" s="34">
        <f>INDEX(Assumptions!$C$35:$G$35,1,AL$4)*Assumptions!$C$48/12</f>
        <v>23.333333333333332</v>
      </c>
      <c r="AM20" s="34">
        <f>INDEX(Assumptions!$C$35:$G$35,1,AM$4)*Assumptions!$C$48/12</f>
        <v>23.333333333333332</v>
      </c>
      <c r="AN20" s="34">
        <f>INDEX(Assumptions!$C$35:$G$35,1,AN$4)*Assumptions!$C$48/12</f>
        <v>23.333333333333332</v>
      </c>
      <c r="AO20" s="34">
        <f>INDEX(Assumptions!$C$35:$G$35,1,AO$4)*Assumptions!$C$48/12</f>
        <v>23.333333333333332</v>
      </c>
      <c r="AP20" s="34">
        <f>INDEX(Assumptions!$C$35:$G$35,1,AP$4)*Assumptions!$C$48/12</f>
        <v>23.333333333333332</v>
      </c>
      <c r="AQ20" s="34">
        <f>INDEX(Assumptions!$C$35:$G$35,1,AQ$4)*Assumptions!$C$48/12</f>
        <v>23.333333333333332</v>
      </c>
      <c r="AR20" s="34">
        <f>INDEX(Assumptions!$C$35:$G$35,1,AR$4)*Assumptions!$C$48/12</f>
        <v>40.0</v>
      </c>
      <c r="AS20" s="34">
        <f>INDEX(Assumptions!$C$35:$G$35,1,AS$4)*Assumptions!$C$48/12</f>
        <v>40.0</v>
      </c>
      <c r="AT20" s="34">
        <f>INDEX(Assumptions!$C$35:$G$35,1,AT$4)*Assumptions!$C$48/12</f>
        <v>40.0</v>
      </c>
      <c r="AU20" s="34">
        <f>INDEX(Assumptions!$C$35:$G$35,1,AU$4)*Assumptions!$C$48/12</f>
        <v>40.0</v>
      </c>
      <c r="AV20" s="34">
        <f>INDEX(Assumptions!$C$35:$G$35,1,AV$4)*Assumptions!$C$48/12</f>
        <v>40.0</v>
      </c>
      <c r="AW20" s="34">
        <f>INDEX(Assumptions!$C$35:$G$35,1,AW$4)*Assumptions!$C$48/12</f>
        <v>40.0</v>
      </c>
      <c r="AX20" s="34">
        <f>INDEX(Assumptions!$C$35:$G$35,1,AX$4)*Assumptions!$C$48/12</f>
        <v>40.0</v>
      </c>
      <c r="AY20" s="34">
        <f>INDEX(Assumptions!$C$35:$G$35,1,AY$4)*Assumptions!$C$48/12</f>
        <v>40.0</v>
      </c>
      <c r="AZ20" s="34">
        <f>INDEX(Assumptions!$C$35:$G$35,1,AZ$4)*Assumptions!$C$48/12</f>
        <v>40.0</v>
      </c>
      <c r="BA20" s="34">
        <f>INDEX(Assumptions!$C$35:$G$35,1,BA$4)*Assumptions!$C$48/12</f>
        <v>40.0</v>
      </c>
      <c r="BB20" s="34">
        <f>INDEX(Assumptions!$C$35:$G$35,1,BB$4)*Assumptions!$C$48/12</f>
        <v>40.0</v>
      </c>
      <c r="BC20" s="34">
        <f>INDEX(Assumptions!$C$35:$G$35,1,BC$4)*Assumptions!$C$48/12</f>
        <v>40.0</v>
      </c>
    </row>
    <row r="21">
      <c r="A21" s="3" t="inlineStr">
        <is>
          <t>Total revenue</t>
        </is>
      </c>
      <c r="B21" s="2" t="inlineStr">
        <is>
          <t>₹ lakh</t>
        </is>
      </c>
      <c r="C21" s="35">
        <f>C15+C16+C17+C19+C20</f>
        <v>5.9571</v>
      </c>
      <c r="D21" s="35">
        <f>D15+D16+D17+D19+D20</f>
        <v>10.200000000000003</v>
      </c>
      <c r="E21" s="35">
        <f>E15+E16+E17+E19+E20</f>
        <v>17.267640864</v>
      </c>
      <c r="F21" s="35">
        <f>F15+F16+F17+F19+F20</f>
        <v>23.629096512</v>
      </c>
      <c r="G21" s="35">
        <f>G15+G16+G17+G19+G20</f>
        <v>29.990552159999996</v>
      </c>
      <c r="H21" s="35">
        <f>H15+H16+H17+H19+H20</f>
        <v>43.35850789097061</v>
      </c>
      <c r="I21" s="35">
        <f>I15+I16+I17+I19+I20</f>
        <v>49.74962781530394</v>
      </c>
      <c r="J21" s="35">
        <f>J15+J16+J17+J19+J20</f>
        <v>56.109723426227816</v>
      </c>
      <c r="K21" s="35">
        <f>K15+K16+K17+K19+K20</f>
        <v>63.24885352663599</v>
      </c>
      <c r="L21" s="35">
        <f>L15+L16+L17+L19+L20</f>
        <v>71.27665752072795</v>
      </c>
      <c r="M21" s="35">
        <f>M15+M16+M17+M19+M20</f>
        <v>80.31820519366359</v>
      </c>
      <c r="N21" s="35">
        <f>N15+N16+N17+N19+N20</f>
        <v>90.51616834554828</v>
      </c>
      <c r="O21" s="35">
        <f>O15+O16+O17+O19+O20</f>
        <v>102.03329805586698</v>
      </c>
      <c r="P21" s="35">
        <f>P15+P16+P17+P19+P20</f>
        <v>115.0552505920369</v>
      </c>
      <c r="Q21" s="35">
        <f>Q15+Q16+Q17+Q19+Q20</f>
        <v>129.79381102940346</v>
      </c>
      <c r="R21" s="35">
        <f>R15+R16+R17+R19+R20</f>
        <v>146.49057055561326</v>
      </c>
      <c r="S21" s="35">
        <f>S15+S16+S17+S19+S20</f>
        <v>165.42112130978535</v>
      </c>
      <c r="T21" s="35">
        <f>T15+T16+T17+T19+T20</f>
        <v>195.22293974149196</v>
      </c>
      <c r="U21" s="35">
        <f>U15+U16+U17+U19+U20</f>
        <v>211.62650834067674</v>
      </c>
      <c r="V21" s="35">
        <f>V15+V16+V17+V19+V20</f>
        <v>225.828328253267</v>
      </c>
      <c r="W21" s="35">
        <f>W15+W16+W17+W19+W20</f>
        <v>240.91416478976703</v>
      </c>
      <c r="X21" s="35">
        <f>X15+X16+X17+X19+X20</f>
        <v>256.94702866880056</v>
      </c>
      <c r="Y21" s="35">
        <f>Y15+Y16+Y17+Y19+Y20</f>
        <v>273.9944218714315</v>
      </c>
      <c r="Z21" s="35">
        <f>Z15+Z16+Z17+Z19+Z20</f>
        <v>292.12865776826425</v>
      </c>
      <c r="AA21" s="35">
        <f>AA15+AA16+AA17+AA19+AA20</f>
        <v>311.42720406447353</v>
      </c>
      <c r="AB21" s="35">
        <f>AB15+AB16+AB17+AB19+AB20</f>
        <v>331.9730501891922</v>
      </c>
      <c r="AC21" s="35">
        <f>AC15+AC16+AC17+AC19+AC20</f>
        <v>353.8551008715959</v>
      </c>
      <c r="AD21" s="35">
        <f>AD15+AD16+AD17+AD19+AD20</f>
        <v>377.1685977701864</v>
      </c>
      <c r="AE21" s="35">
        <f>AE15+AE16+AE17+AE19+AE20</f>
        <v>402.0155711548845</v>
      </c>
      <c r="AF21" s="35">
        <f>AF15+AF16+AF17+AF19+AF20</f>
        <v>435.4798372017276</v>
      </c>
      <c r="AG21" s="35">
        <f>AG15+AG16+AG17+AG19+AG20</f>
        <v>460.2249012058531</v>
      </c>
      <c r="AH21" s="35">
        <f>AH15+AH16+AH17+AH19+AH20</f>
        <v>484.75900258221213</v>
      </c>
      <c r="AI21" s="35">
        <f>AI15+AI16+AI17+AI19+AI20</f>
        <v>510.5877932190737</v>
      </c>
      <c r="AJ21" s="35">
        <f>AJ15+AJ16+AJ17+AJ19+AJ20</f>
        <v>537.7859882990257</v>
      </c>
      <c r="AK21" s="35">
        <f>AK15+AK16+AK17+AK19+AK20</f>
        <v>566.4326147408269</v>
      </c>
      <c r="AL21" s="35">
        <f>AL15+AL16+AL17+AL19+AL20</f>
        <v>596.6112600252587</v>
      </c>
      <c r="AM21" s="35">
        <f>AM15+AM16+AM17+AM19+AM20</f>
        <v>628.4103353804372</v>
      </c>
      <c r="AN21" s="35">
        <f>AN15+AN16+AN17+AN19+AN20</f>
        <v>661.923354155329</v>
      </c>
      <c r="AO21" s="35">
        <f>AO15+AO16+AO17+AO19+AO20</f>
        <v>697.2492262578673</v>
      </c>
      <c r="AP21" s="35">
        <f>AP15+AP16+AP17+AP19+AP20</f>
        <v>734.4925695848077</v>
      </c>
      <c r="AQ21" s="35">
        <f>AQ15+AQ16+AQ17+AQ19+AQ20</f>
        <v>773.7640394238861</v>
      </c>
      <c r="AR21" s="35">
        <f>AR15+AR16+AR17+AR19+AR20</f>
        <v>818.0636520655639</v>
      </c>
      <c r="AS21" s="35">
        <f>AS15+AS16+AS17+AS19+AS20</f>
        <v>846.656848618723</v>
      </c>
      <c r="AT21" s="35">
        <f>AT15+AT16+AT17+AT19+AT20</f>
        <v>869.3321285966101</v>
      </c>
      <c r="AU21" s="35">
        <f>AU15+AU16+AU17+AU19+AU20</f>
        <v>892.5549247774752</v>
      </c>
      <c r="AV21" s="35">
        <f>AV15+AV16+AV17+AV19+AV20</f>
        <v>916.3402437337977</v>
      </c>
      <c r="AW21" s="35">
        <f>AW15+AW16+AW17+AW19+AW20</f>
        <v>940.7035033449896</v>
      </c>
      <c r="AX21" s="35">
        <f>AX15+AX16+AX17+AX19+AX20</f>
        <v>965.6605440707018</v>
      </c>
      <c r="AY21" s="35">
        <f>AY15+AY16+AY17+AY19+AY20</f>
        <v>991.2276405330894</v>
      </c>
      <c r="AZ21" s="35">
        <f>AZ15+AZ16+AZ17+AZ19+AZ20</f>
        <v>1017.4215134165322</v>
      </c>
      <c r="BA21" s="35">
        <f>BA15+BA16+BA17+BA19+BA20</f>
        <v>1044.2593416935097</v>
      </c>
      <c r="BB21" s="35">
        <f>BB15+BB16+BB17+BB19+BB20</f>
        <v>1071.7587751855876</v>
      </c>
      <c r="BC21" s="35">
        <f>BC15+BC16+BC17+BC19+BC20</f>
        <v>1099.937947468632</v>
      </c>
    </row>
    <row r="22">
      <c r="A22" s="13" t="inlineStr">
        <is>
          <t>Variable costs</t>
        </is>
      </c>
      <c r="B22" s="14" t="n"/>
    </row>
    <row r="23">
      <c r="A23" s="4" t="inlineStr">
        <is>
          <t>Customer acquisition</t>
        </is>
      </c>
      <c r="B23" s="2" t="inlineStr">
        <is>
          <t>₹ lakh</t>
        </is>
      </c>
      <c r="C23" s="34">
        <f>C10*INDEX(Assumptions!$C$33:$G$33,1,C$4)/100000</f>
        <v>3.456</v>
      </c>
      <c r="D23" s="34">
        <f>D10*INDEX(Assumptions!$C$33:$G$33,1,D$4)/100000</f>
        <v>6.048000000000001</v>
      </c>
      <c r="E23" s="34">
        <f>E10*INDEX(Assumptions!$C$33:$G$33,1,E$4)/100000</f>
        <v>8.64</v>
      </c>
      <c r="F23" s="34">
        <f>F10*INDEX(Assumptions!$C$33:$G$33,1,F$4)/100000</f>
        <v>11.232</v>
      </c>
      <c r="G23" s="34">
        <f>G10*INDEX(Assumptions!$C$33:$G$33,1,G$4)/100000</f>
        <v>13.824</v>
      </c>
      <c r="H23" s="34">
        <f>H10*INDEX(Assumptions!$C$33:$G$33,1,H$4)/100000</f>
        <v>13.4041224891813</v>
      </c>
      <c r="I23" s="34">
        <f>I10*INDEX(Assumptions!$C$33:$G$33,1,I$4)/100000</f>
        <v>15.290585827288691</v>
      </c>
      <c r="J23" s="34">
        <f>J10*INDEX(Assumptions!$C$33:$G$33,1,J$4)/100000</f>
        <v>17.442545390821966</v>
      </c>
      <c r="K23" s="34">
        <f>K10*INDEX(Assumptions!$C$33:$G$33,1,K$4)/100000</f>
        <v>19.8973664676675</v>
      </c>
      <c r="L23" s="34">
        <f>L10*INDEX(Assumptions!$C$33:$G$33,1,L$4)/100000</f>
        <v>22.69767304472523</v>
      </c>
      <c r="M23" s="34">
        <f>M10*INDEX(Assumptions!$C$33:$G$33,1,M$4)/100000</f>
        <v>25.892087904316774</v>
      </c>
      <c r="N23" s="34">
        <f>N10*INDEX(Assumptions!$C$33:$G$33,1,N$4)/100000</f>
        <v>29.53607687994519</v>
      </c>
      <c r="O23" s="34">
        <f>O10*INDEX(Assumptions!$C$33:$G$33,1,O$4)/100000</f>
        <v>33.692911930543275</v>
      </c>
      <c r="P23" s="34">
        <f>P10*INDEX(Assumptions!$C$33:$G$33,1,P$4)/100000</f>
        <v>38.43476975542921</v>
      </c>
      <c r="Q23" s="34">
        <f>Q10*INDEX(Assumptions!$C$33:$G$33,1,Q$4)/100000</f>
        <v>43.84398502563725</v>
      </c>
      <c r="R23" s="34">
        <f>R10*INDEX(Assumptions!$C$33:$G$33,1,R$4)/100000</f>
        <v>50.01447999195495</v>
      </c>
      <c r="S23" s="34">
        <f>S10*INDEX(Assumptions!$C$33:$G$33,1,S$4)/100000</f>
        <v>57.05339529248904</v>
      </c>
      <c r="T23" s="34">
        <f>T10*INDEX(Assumptions!$C$33:$G$33,1,T$4)/100000</f>
        <v>53.929440982537486</v>
      </c>
      <c r="U23" s="34">
        <f>U10*INDEX(Assumptions!$C$33:$G$33,1,U$4)/100000</f>
        <v>57.77341035970658</v>
      </c>
      <c r="V23" s="34">
        <f>V10*INDEX(Assumptions!$C$33:$G$33,1,V$4)/100000</f>
        <v>61.891369236923225</v>
      </c>
      <c r="W23" s="34">
        <f>W10*INDEX(Assumptions!$C$33:$G$33,1,W$4)/100000</f>
        <v>66.30284697011241</v>
      </c>
      <c r="X23" s="34">
        <f>X10*INDEX(Assumptions!$C$33:$G$33,1,X$4)/100000</f>
        <v>71.02876492380966</v>
      </c>
      <c r="Y23" s="34">
        <f>Y10*INDEX(Assumptions!$C$33:$G$33,1,Y$4)/100000</f>
        <v>76.09153569040555</v>
      </c>
      <c r="Z23" s="34">
        <f>Z10*INDEX(Assumptions!$C$33:$G$33,1,Z$4)/100000</f>
        <v>81.5151693815172</v>
      </c>
      <c r="AA23" s="34">
        <f>AA10*INDEX(Assumptions!$C$33:$G$33,1,AA$4)/100000</f>
        <v>87.32538749556737</v>
      </c>
      <c r="AB23" s="34">
        <f>AB10*INDEX(Assumptions!$C$33:$G$33,1,AB$4)/100000</f>
        <v>93.54974490159067</v>
      </c>
      <c r="AC23" s="34">
        <f>AC10*INDEX(Assumptions!$C$33:$G$33,1,AC$4)/100000</f>
        <v>100.21776051777594</v>
      </c>
      <c r="AD23" s="34">
        <f>AD10*INDEX(Assumptions!$C$33:$G$33,1,AD$4)/100000</f>
        <v>107.3610573044712</v>
      </c>
      <c r="AE23" s="34">
        <f>AE10*INDEX(Assumptions!$C$33:$G$33,1,AE$4)/100000</f>
        <v>115.01351223558268</v>
      </c>
      <c r="AF23" s="34">
        <f>AF10*INDEX(Assumptions!$C$33:$G$33,1,AF$4)/100000</f>
        <v>105.43071366961263</v>
      </c>
      <c r="AG23" s="34">
        <f>AG10*INDEX(Assumptions!$C$33:$G$33,1,AG$4)/100000</f>
        <v>111.51501147216203</v>
      </c>
      <c r="AH23" s="34">
        <f>AH10*INDEX(Assumptions!$C$33:$G$33,1,AH$4)/100000</f>
        <v>117.95042782889261</v>
      </c>
      <c r="AI23" s="34">
        <f>AI10*INDEX(Assumptions!$C$33:$G$33,1,AI$4)/100000</f>
        <v>124.75722542961718</v>
      </c>
      <c r="AJ23" s="34">
        <f>AJ10*INDEX(Assumptions!$C$33:$G$33,1,AJ$4)/100000</f>
        <v>131.95683630308787</v>
      </c>
      <c r="AK23" s="34">
        <f>AK10*INDEX(Assumptions!$C$33:$G$33,1,AK$4)/100000</f>
        <v>139.57192929834181</v>
      </c>
      <c r="AL23" s="34">
        <f>AL10*INDEX(Assumptions!$C$33:$G$33,1,AL$4)/100000</f>
        <v>147.62648146032947</v>
      </c>
      <c r="AM23" s="34">
        <f>AM10*INDEX(Assumptions!$C$33:$G$33,1,AM$4)/100000</f>
        <v>156.14585352454316</v>
      </c>
      <c r="AN23" s="34">
        <f>AN10*INDEX(Assumptions!$C$33:$G$33,1,AN$4)/100000</f>
        <v>165.156869768381</v>
      </c>
      <c r="AO23" s="34">
        <f>AO10*INDEX(Assumptions!$C$33:$G$33,1,AO$4)/100000</f>
        <v>174.68790247063995</v>
      </c>
      <c r="AP23" s="34">
        <f>AP10*INDEX(Assumptions!$C$33:$G$33,1,AP$4)/100000</f>
        <v>184.7689612450748</v>
      </c>
      <c r="AQ23" s="34">
        <f>AQ10*INDEX(Assumptions!$C$33:$G$33,1,AQ$4)/100000</f>
        <v>195.43178752931573</v>
      </c>
      <c r="AR23" s="34">
        <f>AR10*INDEX(Assumptions!$C$33:$G$33,1,AR$4)/100000</f>
        <v>185.34301903301963</v>
      </c>
      <c r="AS23" s="34">
        <f>AS10*INDEX(Assumptions!$C$33:$G$33,1,AS$4)/100000</f>
        <v>190.42298457911656</v>
      </c>
      <c r="AT23" s="34">
        <f>AT10*INDEX(Assumptions!$C$33:$G$33,1,AT$4)/100000</f>
        <v>195.64218412541655</v>
      </c>
      <c r="AU23" s="34">
        <f>AU10*INDEX(Assumptions!$C$33:$G$33,1,AU$4)/100000</f>
        <v>201.00443386055701</v>
      </c>
      <c r="AV23" s="34">
        <f>AV10*INDEX(Assumptions!$C$33:$G$33,1,AV$4)/100000</f>
        <v>206.51365456901192</v>
      </c>
      <c r="AW23" s="34">
        <f>AW10*INDEX(Assumptions!$C$33:$G$33,1,AW$4)/100000</f>
        <v>212.17387449789044</v>
      </c>
      <c r="AX23" s="34">
        <f>AX10*INDEX(Assumptions!$C$33:$G$33,1,AX$4)/100000</f>
        <v>217.989232302325</v>
      </c>
      <c r="AY23" s="34">
        <f>AY10*INDEX(Assumptions!$C$33:$G$33,1,AY$4)/100000</f>
        <v>223.9639800715872</v>
      </c>
      <c r="AZ23" s="34">
        <f>AZ10*INDEX(Assumptions!$C$33:$G$33,1,AZ$4)/100000</f>
        <v>230.1024864381402</v>
      </c>
      <c r="BA23" s="34">
        <f>BA10*INDEX(Assumptions!$C$33:$G$33,1,BA$4)/100000</f>
        <v>236.40923977190525</v>
      </c>
      <c r="BB23" s="34">
        <f>BB10*INDEX(Assumptions!$C$33:$G$33,1,BB$4)/100000</f>
        <v>242.88885146208875</v>
      </c>
      <c r="BC23" s="34">
        <f>BC10*INDEX(Assumptions!$C$33:$G$33,1,BC$4)/100000</f>
        <v>249.54605928893895</v>
      </c>
    </row>
    <row r="24">
      <c r="A24" s="4" t="inlineStr">
        <is>
          <t>AI + infrastructure</t>
        </is>
      </c>
      <c r="B24" s="2" t="inlineStr">
        <is>
          <t>₹ lakh</t>
        </is>
      </c>
      <c r="C24" s="34">
        <f>C10*INDEX(Assumptions!$C$70:$G$70,1,C$4)/100000</f>
        <v>0.18667799999999998</v>
      </c>
      <c r="D24" s="34">
        <f>D10*INDEX(Assumptions!$C$70:$G$70,1,D$4)/100000</f>
        <v>0.32668650000000005</v>
      </c>
      <c r="E24" s="34">
        <f>E10*INDEX(Assumptions!$C$70:$G$70,1,E$4)/100000</f>
        <v>0.466695</v>
      </c>
      <c r="F24" s="34">
        <f>F10*INDEX(Assumptions!$C$70:$G$70,1,F$4)/100000</f>
        <v>0.6067035</v>
      </c>
      <c r="G24" s="34">
        <f>G10*INDEX(Assumptions!$C$70:$G$70,1,G$4)/100000</f>
        <v>0.7467119999999999</v>
      </c>
      <c r="H24" s="34">
        <f>H10*INDEX(Assumptions!$C$70:$G$70,1,H$4)/100000</f>
        <v>0.30354697631556155</v>
      </c>
      <c r="I24" s="34">
        <f>I10*INDEX(Assumptions!$C$70:$G$70,1,I$4)/100000</f>
        <v>0.34626743359837436</v>
      </c>
      <c r="J24" s="34">
        <f>J10*INDEX(Assumptions!$C$70:$G$70,1,J$4)/100000</f>
        <v>0.39500026330737664</v>
      </c>
      <c r="K24" s="34">
        <f>K10*INDEX(Assumptions!$C$70:$G$70,1,K$4)/100000</f>
        <v>0.45059163199813573</v>
      </c>
      <c r="L24" s="34">
        <f>L10*INDEX(Assumptions!$C$70:$G$70,1,L$4)/100000</f>
        <v>0.5140067936328138</v>
      </c>
      <c r="M24" s="34">
        <f>M10*INDEX(Assumptions!$C$70:$G$70,1,M$4)/100000</f>
        <v>0.5863468496498442</v>
      </c>
      <c r="N24" s="34">
        <f>N10*INDEX(Assumptions!$C$70:$G$70,1,N$4)/100000</f>
        <v>0.6688678678046703</v>
      </c>
      <c r="O24" s="34">
        <f>O10*INDEX(Assumptions!$C$70:$G$70,1,O$4)/100000</f>
        <v>0.7630026917493197</v>
      </c>
      <c r="P24" s="34">
        <f>P10*INDEX(Assumptions!$C$70:$G$70,1,P$4)/100000</f>
        <v>0.8703858200387065</v>
      </c>
      <c r="Q24" s="34">
        <f>Q10*INDEX(Assumptions!$C$70:$G$70,1,Q$4)/100000</f>
        <v>0.9928817865472833</v>
      </c>
      <c r="R24" s="34">
        <f>R10*INDEX(Assumptions!$C$70:$G$70,1,R$4)/100000</f>
        <v>1.1326175350759833</v>
      </c>
      <c r="S24" s="34">
        <f>S10*INDEX(Assumptions!$C$70:$G$70,1,S$4)/100000</f>
        <v>1.2920193502819386</v>
      </c>
      <c r="T24" s="34">
        <f>T10*INDEX(Assumptions!$C$70:$G$70,1,T$4)/100000</f>
        <v>1.3841115864837183</v>
      </c>
      <c r="U24" s="34">
        <f>U10*INDEX(Assumptions!$C$70:$G$70,1,U$4)/100000</f>
        <v>1.4827679503564895</v>
      </c>
      <c r="V24" s="34">
        <f>V10*INDEX(Assumptions!$C$70:$G$70,1,V$4)/100000</f>
        <v>1.5884563181714764</v>
      </c>
      <c r="W24" s="34">
        <f>W10*INDEX(Assumptions!$C$70:$G$70,1,W$4)/100000</f>
        <v>1.701677915369178</v>
      </c>
      <c r="X24" s="34">
        <f>X10*INDEX(Assumptions!$C$70:$G$70,1,X$4)/100000</f>
        <v>1.822969693613307</v>
      </c>
      <c r="Y24" s="34">
        <f>Y10*INDEX(Assumptions!$C$70:$G$70,1,Y$4)/100000</f>
        <v>1.9529068772756681</v>
      </c>
      <c r="Z24" s="34">
        <f>Z10*INDEX(Assumptions!$C$70:$G$70,1,Z$4)/100000</f>
        <v>2.0921056914288103</v>
      </c>
      <c r="AA24" s="34">
        <f>AA10*INDEX(Assumptions!$C$70:$G$70,1,AA$4)/100000</f>
        <v>2.241226284283805</v>
      </c>
      <c r="AB24" s="34">
        <f>AB10*INDEX(Assumptions!$C$70:$G$70,1,AB$4)/100000</f>
        <v>2.4009758579328664</v>
      </c>
      <c r="AC24" s="34">
        <f>AC10*INDEX(Assumptions!$C$70:$G$70,1,AC$4)/100000</f>
        <v>2.572112022244395</v>
      </c>
      <c r="AD24" s="34">
        <f>AD10*INDEX(Assumptions!$C$70:$G$70,1,AD$4)/100000</f>
        <v>2.7554463878158515</v>
      </c>
      <c r="AE24" s="34">
        <f>AE10*INDEX(Assumptions!$C$70:$G$70,1,AE$4)/100000</f>
        <v>2.9518484150244317</v>
      </c>
      <c r="AF24" s="34">
        <f>AF10*INDEX(Assumptions!$C$70:$G$70,1,AF$4)/100000</f>
        <v>3.122196544140463</v>
      </c>
      <c r="AG24" s="34">
        <f>AG10*INDEX(Assumptions!$C$70:$G$70,1,AG$4)/100000</f>
        <v>3.3023752881843476</v>
      </c>
      <c r="AH24" s="34">
        <f>AH10*INDEX(Assumptions!$C$70:$G$70,1,AH$4)/100000</f>
        <v>3.4929519618095815</v>
      </c>
      <c r="AI24" s="34">
        <f>AI10*INDEX(Assumptions!$C$70:$G$70,1,AI$4)/100000</f>
        <v>3.6945266188136454</v>
      </c>
      <c r="AJ24" s="34">
        <f>AJ10*INDEX(Assumptions!$C$70:$G$70,1,AJ$4)/100000</f>
        <v>3.9077339414800494</v>
      </c>
      <c r="AK24" s="34">
        <f>AK10*INDEX(Assumptions!$C$70:$G$70,1,AK$4)/100000</f>
        <v>4.133245238952588</v>
      </c>
      <c r="AL24" s="34">
        <f>AL10*INDEX(Assumptions!$C$70:$G$70,1,AL$4)/100000</f>
        <v>4.371770560933834</v>
      </c>
      <c r="AM24" s="34">
        <f>AM10*INDEX(Assumptions!$C$70:$G$70,1,AM$4)/100000</f>
        <v>4.6240609333625775</v>
      </c>
      <c r="AN24" s="34">
        <f>AN10*INDEX(Assumptions!$C$70:$G$70,1,AN$4)/100000</f>
        <v>4.890910723110449</v>
      </c>
      <c r="AO24" s="34">
        <f>AO10*INDEX(Assumptions!$C$70:$G$70,1,AO$4)/100000</f>
        <v>5.173160139142424</v>
      </c>
      <c r="AP24" s="34">
        <f>AP10*INDEX(Assumptions!$C$70:$G$70,1,AP$4)/100000</f>
        <v>5.471697878016605</v>
      </c>
      <c r="AQ24" s="34">
        <f>AQ10*INDEX(Assumptions!$C$70:$G$70,1,AQ$4)/100000</f>
        <v>5.7874639220533775</v>
      </c>
      <c r="AR24" s="34">
        <f>AR10*INDEX(Assumptions!$C$70:$G$70,1,AR$4)/100000</f>
        <v>5.946089358698845</v>
      </c>
      <c r="AS24" s="34">
        <f>AS10*INDEX(Assumptions!$C$70:$G$70,1,AS$4)/100000</f>
        <v>6.109062473272006</v>
      </c>
      <c r="AT24" s="34">
        <f>AT10*INDEX(Assumptions!$C$70:$G$70,1,AT$4)/100000</f>
        <v>6.276502428901795</v>
      </c>
      <c r="AU24" s="34">
        <f>AU10*INDEX(Assumptions!$C$70:$G$70,1,AU$4)/100000</f>
        <v>6.448531654794163</v>
      </c>
      <c r="AV24" s="34">
        <f>AV10*INDEX(Assumptions!$C$70:$G$70,1,AV$4)/100000</f>
        <v>6.625275935750495</v>
      </c>
      <c r="AW24" s="34">
        <f>AW10*INDEX(Assumptions!$C$70:$G$70,1,AW$4)/100000</f>
        <v>6.8068645041389475</v>
      </c>
      <c r="AX24" s="34">
        <f>AX10*INDEX(Assumptions!$C$70:$G$70,1,AX$4)/100000</f>
        <v>6.993430134387013</v>
      </c>
      <c r="AY24" s="34">
        <f>AY10*INDEX(Assumptions!$C$70:$G$70,1,AY$4)/100000</f>
        <v>7.185109240063988</v>
      </c>
      <c r="AZ24" s="34">
        <f>AZ10*INDEX(Assumptions!$C$70:$G$70,1,AZ$4)/100000</f>
        <v>7.382041973624151</v>
      </c>
      <c r="BA24" s="34">
        <f>BA10*INDEX(Assumptions!$C$70:$G$70,1,BA$4)/100000</f>
        <v>7.584372328883758</v>
      </c>
      <c r="BB24" s="34">
        <f>BB10*INDEX(Assumptions!$C$70:$G$70,1,BB$4)/100000</f>
        <v>7.792248246307098</v>
      </c>
      <c r="BC24" s="34">
        <f>BC10*INDEX(Assumptions!$C$70:$G$70,1,BC$4)/100000</f>
        <v>8.00582172117765</v>
      </c>
    </row>
    <row r="25">
      <c r="A25" s="4" t="inlineStr">
        <is>
          <t>Payments + partner ops</t>
        </is>
      </c>
      <c r="B25" s="2" t="inlineStr">
        <is>
          <t>₹ lakh</t>
        </is>
      </c>
      <c r="C25" s="34">
        <f>C21*Assumptions!$C$73</f>
        <v>0.17871299999999998</v>
      </c>
      <c r="D25" s="34">
        <f>D21*Assumptions!$C$73</f>
        <v>0.30600000000000005</v>
      </c>
      <c r="E25" s="34">
        <f>E21*Assumptions!$C$73</f>
        <v>0.51802922592</v>
      </c>
      <c r="F25" s="34">
        <f>F21*Assumptions!$C$73</f>
        <v>0.70887289536</v>
      </c>
      <c r="G25" s="34">
        <f>G21*Assumptions!$C$73</f>
        <v>0.8997165647999998</v>
      </c>
      <c r="H25" s="34">
        <f>H21*Assumptions!$C$73</f>
        <v>1.3007552367291182</v>
      </c>
      <c r="I25" s="34">
        <f>I21*Assumptions!$C$73</f>
        <v>1.492488834459118</v>
      </c>
      <c r="J25" s="34">
        <f>J21*Assumptions!$C$73</f>
        <v>1.6832917027868344</v>
      </c>
      <c r="K25" s="34">
        <f>K21*Assumptions!$C$73</f>
        <v>1.8974656057990797</v>
      </c>
      <c r="L25" s="34">
        <f>L21*Assumptions!$C$73</f>
        <v>2.1382997256218386</v>
      </c>
      <c r="M25" s="34">
        <f>M21*Assumptions!$C$73</f>
        <v>2.4095461558099074</v>
      </c>
      <c r="N25" s="34">
        <f>N21*Assumptions!$C$73</f>
        <v>2.7154850503664485</v>
      </c>
      <c r="O25" s="34">
        <f>O21*Assumptions!$C$73</f>
        <v>3.0609989416760093</v>
      </c>
      <c r="P25" s="34">
        <f>P21*Assumptions!$C$73</f>
        <v>3.451657517761107</v>
      </c>
      <c r="Q25" s="34">
        <f>Q21*Assumptions!$C$73</f>
        <v>3.8938143308821034</v>
      </c>
      <c r="R25" s="34">
        <f>R21*Assumptions!$C$73</f>
        <v>4.394717116668398</v>
      </c>
      <c r="S25" s="34">
        <f>S21*Assumptions!$C$73</f>
        <v>4.962633639293561</v>
      </c>
      <c r="T25" s="34">
        <f>T21*Assumptions!$C$73</f>
        <v>5.856688192244759</v>
      </c>
      <c r="U25" s="34">
        <f>U21*Assumptions!$C$73</f>
        <v>6.348795250220302</v>
      </c>
      <c r="V25" s="34">
        <f>V21*Assumptions!$C$73</f>
        <v>6.774849847598009</v>
      </c>
      <c r="W25" s="34">
        <f>W21*Assumptions!$C$73</f>
        <v>7.227424943693011</v>
      </c>
      <c r="X25" s="34">
        <f>X21*Assumptions!$C$73</f>
        <v>7.708410860064016</v>
      </c>
      <c r="Y25" s="34">
        <f>Y21*Assumptions!$C$73</f>
        <v>8.219832656142945</v>
      </c>
      <c r="Z25" s="34">
        <f>Z21*Assumptions!$C$73</f>
        <v>8.763859733047926</v>
      </c>
      <c r="AA25" s="34">
        <f>AA21*Assumptions!$C$73</f>
        <v>9.342816121934206</v>
      </c>
      <c r="AB25" s="34">
        <f>AB21*Assumptions!$C$73</f>
        <v>9.959191505675765</v>
      </c>
      <c r="AC25" s="34">
        <f>AC21*Assumptions!$C$73</f>
        <v>10.615653026147877</v>
      </c>
      <c r="AD25" s="34">
        <f>AD21*Assumptions!$C$73</f>
        <v>11.315057933105592</v>
      </c>
      <c r="AE25" s="34">
        <f>AE21*Assumptions!$C$73</f>
        <v>12.060467134646535</v>
      </c>
      <c r="AF25" s="34">
        <f>AF21*Assumptions!$C$73</f>
        <v>13.064395116051827</v>
      </c>
      <c r="AG25" s="34">
        <f>AG21*Assumptions!$C$73</f>
        <v>13.806747036175592</v>
      </c>
      <c r="AH25" s="34">
        <f>AH21*Assumptions!$C$73</f>
        <v>14.542770077466363</v>
      </c>
      <c r="AI25" s="34">
        <f>AI21*Assumptions!$C$73</f>
        <v>15.317633796572212</v>
      </c>
      <c r="AJ25" s="34">
        <f>AJ21*Assumptions!$C$73</f>
        <v>16.13357964897077</v>
      </c>
      <c r="AK25" s="34">
        <f>AK21*Assumptions!$C$73</f>
        <v>16.992978442224807</v>
      </c>
      <c r="AL25" s="34">
        <f>AL21*Assumptions!$C$73</f>
        <v>17.898337800757762</v>
      </c>
      <c r="AM25" s="34">
        <f>AM21*Assumptions!$C$73</f>
        <v>18.852310061413117</v>
      </c>
      <c r="AN25" s="34">
        <f>AN21*Assumptions!$C$73</f>
        <v>19.85770062465987</v>
      </c>
      <c r="AO25" s="34">
        <f>AO21*Assumptions!$C$73</f>
        <v>20.91747678773602</v>
      </c>
      <c r="AP25" s="34">
        <f>AP21*Assumptions!$C$73</f>
        <v>22.03477708754423</v>
      </c>
      <c r="AQ25" s="34">
        <f>AQ21*Assumptions!$C$73</f>
        <v>23.21292118271658</v>
      </c>
      <c r="AR25" s="34">
        <f>AR21*Assumptions!$C$73</f>
        <v>24.541909561966918</v>
      </c>
      <c r="AS25" s="34">
        <f>AS21*Assumptions!$C$73</f>
        <v>25.399705458561687</v>
      </c>
      <c r="AT25" s="34">
        <f>AT21*Assumptions!$C$73</f>
        <v>26.079963857898303</v>
      </c>
      <c r="AU25" s="34">
        <f>AU21*Assumptions!$C$73</f>
        <v>26.776647743324254</v>
      </c>
      <c r="AV25" s="34">
        <f>AV21*Assumptions!$C$73</f>
        <v>27.49020731201393</v>
      </c>
      <c r="AW25" s="34">
        <f>AW21*Assumptions!$C$73</f>
        <v>28.221105100349686</v>
      </c>
      <c r="AX25" s="34">
        <f>AX21*Assumptions!$C$73</f>
        <v>28.96981632212105</v>
      </c>
      <c r="AY25" s="34">
        <f>AY21*Assumptions!$C$73</f>
        <v>29.736829215992678</v>
      </c>
      <c r="AZ25" s="34">
        <f>AZ21*Assumptions!$C$73</f>
        <v>30.522645402495964</v>
      </c>
      <c r="BA25" s="34">
        <f>BA21*Assumptions!$C$73</f>
        <v>31.32778025080529</v>
      </c>
      <c r="BB25" s="34">
        <f>BB21*Assumptions!$C$73</f>
        <v>32.15276325556763</v>
      </c>
      <c r="BC25" s="34">
        <f>BC21*Assumptions!$C$73</f>
        <v>32.99813842405896</v>
      </c>
    </row>
    <row r="26">
      <c r="A26" s="3" t="inlineStr">
        <is>
          <t>Gross profit</t>
        </is>
      </c>
      <c r="B26" s="2" t="inlineStr">
        <is>
          <t>₹ lakh</t>
        </is>
      </c>
      <c r="C26" s="35">
        <f>C21-C23-C24-C25</f>
        <v>2.1357089999999994</v>
      </c>
      <c r="D26" s="35">
        <f>D21-D23-D24-D25</f>
        <v>3.5193135000000018</v>
      </c>
      <c r="E26" s="35">
        <f>E21-E23-E24-E25</f>
        <v>7.64291663808</v>
      </c>
      <c r="F26" s="35">
        <f>F21-F23-F24-F25</f>
        <v>11.08152011664</v>
      </c>
      <c r="G26" s="35">
        <f>G21-G23-G24-G25</f>
        <v>14.520123595199994</v>
      </c>
      <c r="H26" s="35">
        <f>H21-H23-H24-H25</f>
        <v>28.35008318874463</v>
      </c>
      <c r="I26" s="35">
        <f>I21-I23-I24-I25</f>
        <v>32.62028571995775</v>
      </c>
      <c r="J26" s="35">
        <f>J21-J23-J24-J25</f>
        <v>36.58888606931165</v>
      </c>
      <c r="K26" s="35">
        <f>K21-K23-K24-K25</f>
        <v>41.003429821171274</v>
      </c>
      <c r="L26" s="35">
        <f>L21-L23-L24-L25</f>
        <v>45.92667795674806</v>
      </c>
      <c r="M26" s="35">
        <f>M21-M23-M24-M25</f>
        <v>51.430224283887064</v>
      </c>
      <c r="N26" s="35">
        <f>N21-N23-N24-N25</f>
        <v>57.59573854743198</v>
      </c>
      <c r="O26" s="35">
        <f>O21-O23-O24-O25</f>
        <v>64.51638449189838</v>
      </c>
      <c r="P26" s="35">
        <f>P21-P23-P24-P25</f>
        <v>72.29843749880789</v>
      </c>
      <c r="Q26" s="35">
        <f>Q21-Q23-Q24-Q25</f>
        <v>81.06312988633681</v>
      </c>
      <c r="R26" s="35">
        <f>R21-R23-R24-R25</f>
        <v>90.94875591191393</v>
      </c>
      <c r="S26" s="35">
        <f>S21-S23-S24-S25</f>
        <v>102.11307302772082</v>
      </c>
      <c r="T26" s="35">
        <f>T21-T23-T24-T25</f>
        <v>134.05269898022598</v>
      </c>
      <c r="U26" s="35">
        <f>U21-U23-U24-U25</f>
        <v>146.02153478039338</v>
      </c>
      <c r="V26" s="35">
        <f>V21-V23-V24-V25</f>
        <v>155.5736528505743</v>
      </c>
      <c r="W26" s="35">
        <f>W21-W23-W24-W25</f>
        <v>165.68221496059243</v>
      </c>
      <c r="X26" s="35">
        <f>X21-X23-X24-X25</f>
        <v>176.38688319131356</v>
      </c>
      <c r="Y26" s="35">
        <f>Y21-Y23-Y24-Y25</f>
        <v>187.7301466476073</v>
      </c>
      <c r="Z26" s="35">
        <f>Z21-Z23-Z24-Z25</f>
        <v>199.75752296227034</v>
      </c>
      <c r="AA26" s="35">
        <f>AA21-AA23-AA24-AA25</f>
        <v>212.5177741626881</v>
      </c>
      <c r="AB26" s="35">
        <f>AB21-AB23-AB24-AB25</f>
        <v>226.06313792399288</v>
      </c>
      <c r="AC26" s="35">
        <f>AC21-AC23-AC24-AC25</f>
        <v>240.44957530542766</v>
      </c>
      <c r="AD26" s="35">
        <f>AD21-AD23-AD24-AD25</f>
        <v>255.73703614479376</v>
      </c>
      <c r="AE26" s="35">
        <f>AE21-AE23-AE24-AE25</f>
        <v>271.98974336963084</v>
      </c>
      <c r="AF26" s="35">
        <f>AF21-AF23-AF24-AF25</f>
        <v>313.86253187192267</v>
      </c>
      <c r="AG26" s="35">
        <f>AG21-AG23-AG24-AG25</f>
        <v>331.6007674093311</v>
      </c>
      <c r="AH26" s="35">
        <f>AH21-AH23-AH24-AH25</f>
        <v>348.7728527140436</v>
      </c>
      <c r="AI26" s="35">
        <f>AI21-AI23-AI24-AI25</f>
        <v>366.81840737407066</v>
      </c>
      <c r="AJ26" s="35">
        <f>AJ21-AJ23-AJ24-AJ25</f>
        <v>385.787838405487</v>
      </c>
      <c r="AK26" s="35">
        <f>AK21-AK23-AK24-AK25</f>
        <v>405.73446176130767</v>
      </c>
      <c r="AL26" s="35">
        <f>AL21-AL23-AL24-AL25</f>
        <v>426.71467020323763</v>
      </c>
      <c r="AM26" s="35">
        <f>AM21-AM23-AM24-AM25</f>
        <v>448.7881108611184</v>
      </c>
      <c r="AN26" s="35">
        <f>AN21-AN23-AN24-AN25</f>
        <v>472.0178730391777</v>
      </c>
      <c r="AO26" s="35">
        <f>AO21-AO23-AO24-AO25</f>
        <v>496.47068686034896</v>
      </c>
      <c r="AP26" s="35">
        <f>AP21-AP23-AP24-AP25</f>
        <v>522.217133374172</v>
      </c>
      <c r="AQ26" s="35">
        <f>AQ21-AQ23-AQ24-AQ25</f>
        <v>549.3318667898004</v>
      </c>
      <c r="AR26" s="35">
        <f>AR21-AR23-AR24-AR25</f>
        <v>602.2326341118786</v>
      </c>
      <c r="AS26" s="35">
        <f>AS21-AS23-AS24-AS25</f>
        <v>624.7250961077726</v>
      </c>
      <c r="AT26" s="35">
        <f>AT21-AT23-AT24-AT25</f>
        <v>641.3334781843935</v>
      </c>
      <c r="AU26" s="35">
        <f>AU21-AU23-AU24-AU25</f>
        <v>658.3253115187998</v>
      </c>
      <c r="AV26" s="35">
        <f>AV21-AV23-AV24-AV25</f>
        <v>675.7111059170213</v>
      </c>
      <c r="AW26" s="35">
        <f>AW21-AW23-AW24-AW25</f>
        <v>693.5016592426106</v>
      </c>
      <c r="AX26" s="35">
        <f>AX21-AX23-AX24-AX25</f>
        <v>711.7080653118687</v>
      </c>
      <c r="AY26" s="35">
        <f>AY21-AY23-AY24-AY25</f>
        <v>730.3417220054455</v>
      </c>
      <c r="AZ26" s="35">
        <f>AZ21-AZ23-AZ24-AZ25</f>
        <v>749.4143396022719</v>
      </c>
      <c r="BA26" s="35">
        <f>BA21-BA23-BA24-BA25</f>
        <v>768.9379493419153</v>
      </c>
      <c r="BB26" s="35">
        <f>BB21-BB23-BB24-BB25</f>
        <v>788.9249122216243</v>
      </c>
      <c r="BC26" s="35">
        <f>BC21-BC23-BC24-BC25</f>
        <v>809.3879280344564</v>
      </c>
    </row>
    <row r="27">
      <c r="A27" s="13" t="inlineStr">
        <is>
          <t>People</t>
        </is>
      </c>
      <c r="B27" s="14" t="n"/>
    </row>
    <row r="28">
      <c r="A28" s="4" t="inlineStr">
        <is>
          <t>Hiring factor</t>
        </is>
      </c>
      <c r="B28" s="2" t="inlineStr">
        <is>
          <t>x plan</t>
        </is>
      </c>
      <c r="C28" s="36">
        <f>INDEX(Assumptions!$C$36:$G$36,1,C$4)</f>
        <v>1.0</v>
      </c>
      <c r="D28" s="36">
        <f>INDEX(Assumptions!$C$36:$G$36,1,D$4)</f>
        <v>1.0</v>
      </c>
      <c r="E28" s="36">
        <f>INDEX(Assumptions!$C$36:$G$36,1,E$4)</f>
        <v>1.0</v>
      </c>
      <c r="F28" s="36">
        <f>INDEX(Assumptions!$C$36:$G$36,1,F$4)</f>
        <v>1.0</v>
      </c>
      <c r="G28" s="36">
        <f>INDEX(Assumptions!$C$36:$G$36,1,G$4)</f>
        <v>1.0</v>
      </c>
      <c r="H28" s="36">
        <f>INDEX(Assumptions!$C$36:$G$36,1,H$4)</f>
        <v>1.15</v>
      </c>
      <c r="I28" s="36">
        <f>INDEX(Assumptions!$C$36:$G$36,1,I$4)</f>
        <v>1.15</v>
      </c>
      <c r="J28" s="36">
        <f>INDEX(Assumptions!$C$36:$G$36,1,J$4)</f>
        <v>1.15</v>
      </c>
      <c r="K28" s="36">
        <f>INDEX(Assumptions!$C$36:$G$36,1,K$4)</f>
        <v>1.15</v>
      </c>
      <c r="L28" s="36">
        <f>INDEX(Assumptions!$C$36:$G$36,1,L$4)</f>
        <v>1.15</v>
      </c>
      <c r="M28" s="36">
        <f>INDEX(Assumptions!$C$36:$G$36,1,M$4)</f>
        <v>1.15</v>
      </c>
      <c r="N28" s="36">
        <f>INDEX(Assumptions!$C$36:$G$36,1,N$4)</f>
        <v>1.15</v>
      </c>
      <c r="O28" s="36">
        <f>INDEX(Assumptions!$C$36:$G$36,1,O$4)</f>
        <v>1.15</v>
      </c>
      <c r="P28" s="36">
        <f>INDEX(Assumptions!$C$36:$G$36,1,P$4)</f>
        <v>1.15</v>
      </c>
      <c r="Q28" s="36">
        <f>INDEX(Assumptions!$C$36:$G$36,1,Q$4)</f>
        <v>1.15</v>
      </c>
      <c r="R28" s="36">
        <f>INDEX(Assumptions!$C$36:$G$36,1,R$4)</f>
        <v>1.15</v>
      </c>
      <c r="S28" s="36">
        <f>INDEX(Assumptions!$C$36:$G$36,1,S$4)</f>
        <v>1.15</v>
      </c>
      <c r="T28" s="36">
        <f>INDEX(Assumptions!$C$36:$G$36,1,T$4)</f>
        <v>1.15</v>
      </c>
      <c r="U28" s="36">
        <f>INDEX(Assumptions!$C$36:$G$36,1,U$4)</f>
        <v>1.15</v>
      </c>
      <c r="V28" s="36">
        <f>INDEX(Assumptions!$C$36:$G$36,1,V$4)</f>
        <v>1.15</v>
      </c>
      <c r="W28" s="36">
        <f>INDEX(Assumptions!$C$36:$G$36,1,W$4)</f>
        <v>1.15</v>
      </c>
      <c r="X28" s="36">
        <f>INDEX(Assumptions!$C$36:$G$36,1,X$4)</f>
        <v>1.15</v>
      </c>
      <c r="Y28" s="36">
        <f>INDEX(Assumptions!$C$36:$G$36,1,Y$4)</f>
        <v>1.15</v>
      </c>
      <c r="Z28" s="36">
        <f>INDEX(Assumptions!$C$36:$G$36,1,Z$4)</f>
        <v>1.15</v>
      </c>
      <c r="AA28" s="36">
        <f>INDEX(Assumptions!$C$36:$G$36,1,AA$4)</f>
        <v>1.15</v>
      </c>
      <c r="AB28" s="36">
        <f>INDEX(Assumptions!$C$36:$G$36,1,AB$4)</f>
        <v>1.15</v>
      </c>
      <c r="AC28" s="36">
        <f>INDEX(Assumptions!$C$36:$G$36,1,AC$4)</f>
        <v>1.15</v>
      </c>
      <c r="AD28" s="36">
        <f>INDEX(Assumptions!$C$36:$G$36,1,AD$4)</f>
        <v>1.15</v>
      </c>
      <c r="AE28" s="36">
        <f>INDEX(Assumptions!$C$36:$G$36,1,AE$4)</f>
        <v>1.15</v>
      </c>
      <c r="AF28" s="36">
        <f>INDEX(Assumptions!$C$36:$G$36,1,AF$4)</f>
        <v>1.15</v>
      </c>
      <c r="AG28" s="36">
        <f>INDEX(Assumptions!$C$36:$G$36,1,AG$4)</f>
        <v>1.15</v>
      </c>
      <c r="AH28" s="36">
        <f>INDEX(Assumptions!$C$36:$G$36,1,AH$4)</f>
        <v>1.15</v>
      </c>
      <c r="AI28" s="36">
        <f>INDEX(Assumptions!$C$36:$G$36,1,AI$4)</f>
        <v>1.15</v>
      </c>
      <c r="AJ28" s="36">
        <f>INDEX(Assumptions!$C$36:$G$36,1,AJ$4)</f>
        <v>1.15</v>
      </c>
      <c r="AK28" s="36">
        <f>INDEX(Assumptions!$C$36:$G$36,1,AK$4)</f>
        <v>1.15</v>
      </c>
      <c r="AL28" s="36">
        <f>INDEX(Assumptions!$C$36:$G$36,1,AL$4)</f>
        <v>1.15</v>
      </c>
      <c r="AM28" s="36">
        <f>INDEX(Assumptions!$C$36:$G$36,1,AM$4)</f>
        <v>1.15</v>
      </c>
      <c r="AN28" s="36">
        <f>INDEX(Assumptions!$C$36:$G$36,1,AN$4)</f>
        <v>1.15</v>
      </c>
      <c r="AO28" s="36">
        <f>INDEX(Assumptions!$C$36:$G$36,1,AO$4)</f>
        <v>1.15</v>
      </c>
      <c r="AP28" s="36">
        <f>INDEX(Assumptions!$C$36:$G$36,1,AP$4)</f>
        <v>1.15</v>
      </c>
      <c r="AQ28" s="36">
        <f>INDEX(Assumptions!$C$36:$G$36,1,AQ$4)</f>
        <v>1.15</v>
      </c>
      <c r="AR28" s="36">
        <f>INDEX(Assumptions!$C$36:$G$36,1,AR$4)</f>
        <v>1.15</v>
      </c>
      <c r="AS28" s="36">
        <f>INDEX(Assumptions!$C$36:$G$36,1,AS$4)</f>
        <v>1.15</v>
      </c>
      <c r="AT28" s="36">
        <f>INDEX(Assumptions!$C$36:$G$36,1,AT$4)</f>
        <v>1.15</v>
      </c>
      <c r="AU28" s="36">
        <f>INDEX(Assumptions!$C$36:$G$36,1,AU$4)</f>
        <v>1.15</v>
      </c>
      <c r="AV28" s="36">
        <f>INDEX(Assumptions!$C$36:$G$36,1,AV$4)</f>
        <v>1.15</v>
      </c>
      <c r="AW28" s="36">
        <f>INDEX(Assumptions!$C$36:$G$36,1,AW$4)</f>
        <v>1.15</v>
      </c>
      <c r="AX28" s="36">
        <f>INDEX(Assumptions!$C$36:$G$36,1,AX$4)</f>
        <v>1.15</v>
      </c>
      <c r="AY28" s="36">
        <f>INDEX(Assumptions!$C$36:$G$36,1,AY$4)</f>
        <v>1.15</v>
      </c>
      <c r="AZ28" s="36">
        <f>INDEX(Assumptions!$C$36:$G$36,1,AZ$4)</f>
        <v>1.15</v>
      </c>
      <c r="BA28" s="36">
        <f>INDEX(Assumptions!$C$36:$G$36,1,BA$4)</f>
        <v>1.15</v>
      </c>
      <c r="BB28" s="36">
        <f>INDEX(Assumptions!$C$36:$G$36,1,BB$4)</f>
        <v>1.15</v>
      </c>
      <c r="BC28" s="36">
        <f>INDEX(Assumptions!$C$36:$G$36,1,BC$4)</f>
        <v>1.15</v>
      </c>
    </row>
    <row r="29">
      <c r="A29" s="4" t="inlineStr">
        <is>
          <t>Heads: Product &amp; engineering (incl. design, ML/PV)</t>
        </is>
      </c>
      <c r="B29" s="2" t="inlineStr">
        <is>
          <t>people (ramp)</t>
        </is>
      </c>
      <c r="C29" s="34">
        <f>(INDEX(Assumptions!$C$51:$G$51,1,C$4)+(INDEX(Assumptions!$C$51:$G$51,1,C$4)-IF(C$4=1,Assumptions!$H$51,INDEX(Assumptions!$C$51:$G$51,1,MAX(1,C$4-1))))*(C$5-(C$6+1)/2)/C$6)*C28</f>
        <v>3.4</v>
      </c>
      <c r="D29" s="34">
        <f>(INDEX(Assumptions!$C$51:$G$51,1,D$4)+(INDEX(Assumptions!$C$51:$G$51,1,D$4)-IF(D$4=1,Assumptions!$H$51,INDEX(Assumptions!$C$51:$G$51,1,MAX(1,D$4-1))))*(D$5-(D$6+1)/2)/D$6)*D28</f>
        <v>4.2</v>
      </c>
      <c r="E29" s="34">
        <f>(INDEX(Assumptions!$C$51:$G$51,1,E$4)+(INDEX(Assumptions!$C$51:$G$51,1,E$4)-IF(E$4=1,Assumptions!$H$51,INDEX(Assumptions!$C$51:$G$51,1,MAX(1,E$4-1))))*(E$5-(E$6+1)/2)/E$6)*E28</f>
        <v>5.0</v>
      </c>
      <c r="F29" s="34">
        <f>(INDEX(Assumptions!$C$51:$G$51,1,F$4)+(INDEX(Assumptions!$C$51:$G$51,1,F$4)-IF(F$4=1,Assumptions!$H$51,INDEX(Assumptions!$C$51:$G$51,1,MAX(1,F$4-1))))*(F$5-(F$6+1)/2)/F$6)*F28</f>
        <v>5.8</v>
      </c>
      <c r="G29" s="34">
        <f>(INDEX(Assumptions!$C$51:$G$51,1,G$4)+(INDEX(Assumptions!$C$51:$G$51,1,G$4)-IF(G$4=1,Assumptions!$H$51,INDEX(Assumptions!$C$51:$G$51,1,MAX(1,G$4-1))))*(G$5-(G$6+1)/2)/G$6)*G28</f>
        <v>6.6</v>
      </c>
      <c r="H29" s="34">
        <f>(INDEX(Assumptions!$C$51:$G$51,1,H$4)+(INDEX(Assumptions!$C$51:$G$51,1,H$4)-IF(H$4=1,Assumptions!$H$51,INDEX(Assumptions!$C$51:$G$51,1,MAX(1,H$4-1))))*(H$5-(H$6+1)/2)/H$6)*H28</f>
        <v>10.110416666666666</v>
      </c>
      <c r="I29" s="34">
        <f>(INDEX(Assumptions!$C$51:$G$51,1,I$4)+(INDEX(Assumptions!$C$51:$G$51,1,I$4)-IF(I$4=1,Assumptions!$H$51,INDEX(Assumptions!$C$51:$G$51,1,MAX(1,I$4-1))))*(I$5-(I$6+1)/2)/I$6)*I28</f>
        <v>10.78125</v>
      </c>
      <c r="J29" s="34">
        <f>(INDEX(Assumptions!$C$51:$G$51,1,J$4)+(INDEX(Assumptions!$C$51:$G$51,1,J$4)-IF(J$4=1,Assumptions!$H$51,INDEX(Assumptions!$C$51:$G$51,1,MAX(1,J$4-1))))*(J$5-(J$6+1)/2)/J$6)*J28</f>
        <v>11.452083333333333</v>
      </c>
      <c r="K29" s="34">
        <f>(INDEX(Assumptions!$C$51:$G$51,1,K$4)+(INDEX(Assumptions!$C$51:$G$51,1,K$4)-IF(K$4=1,Assumptions!$H$51,INDEX(Assumptions!$C$51:$G$51,1,MAX(1,K$4-1))))*(K$5-(K$6+1)/2)/K$6)*K28</f>
        <v>12.122916666666665</v>
      </c>
      <c r="L29" s="34">
        <f>(INDEX(Assumptions!$C$51:$G$51,1,L$4)+(INDEX(Assumptions!$C$51:$G$51,1,L$4)-IF(L$4=1,Assumptions!$H$51,INDEX(Assumptions!$C$51:$G$51,1,MAX(1,L$4-1))))*(L$5-(L$6+1)/2)/L$6)*L28</f>
        <v>12.79375</v>
      </c>
      <c r="M29" s="34">
        <f>(INDEX(Assumptions!$C$51:$G$51,1,M$4)+(INDEX(Assumptions!$C$51:$G$51,1,M$4)-IF(M$4=1,Assumptions!$H$51,INDEX(Assumptions!$C$51:$G$51,1,MAX(1,M$4-1))))*(M$5-(M$6+1)/2)/M$6)*M28</f>
        <v>13.464583333333334</v>
      </c>
      <c r="N29" s="34">
        <f>(INDEX(Assumptions!$C$51:$G$51,1,N$4)+(INDEX(Assumptions!$C$51:$G$51,1,N$4)-IF(N$4=1,Assumptions!$H$51,INDEX(Assumptions!$C$51:$G$51,1,MAX(1,N$4-1))))*(N$5-(N$6+1)/2)/N$6)*N28</f>
        <v>14.135416666666664</v>
      </c>
      <c r="O29" s="34">
        <f>(INDEX(Assumptions!$C$51:$G$51,1,O$4)+(INDEX(Assumptions!$C$51:$G$51,1,O$4)-IF(O$4=1,Assumptions!$H$51,INDEX(Assumptions!$C$51:$G$51,1,MAX(1,O$4-1))))*(O$5-(O$6+1)/2)/O$6)*O28</f>
        <v>14.806249999999999</v>
      </c>
      <c r="P29" s="34">
        <f>(INDEX(Assumptions!$C$51:$G$51,1,P$4)+(INDEX(Assumptions!$C$51:$G$51,1,P$4)-IF(P$4=1,Assumptions!$H$51,INDEX(Assumptions!$C$51:$G$51,1,MAX(1,P$4-1))))*(P$5-(P$6+1)/2)/P$6)*P28</f>
        <v>15.477083333333333</v>
      </c>
      <c r="Q29" s="34">
        <f>(INDEX(Assumptions!$C$51:$G$51,1,Q$4)+(INDEX(Assumptions!$C$51:$G$51,1,Q$4)-IF(Q$4=1,Assumptions!$H$51,INDEX(Assumptions!$C$51:$G$51,1,MAX(1,Q$4-1))))*(Q$5-(Q$6+1)/2)/Q$6)*Q28</f>
        <v>16.147916666666664</v>
      </c>
      <c r="R29" s="34">
        <f>(INDEX(Assumptions!$C$51:$G$51,1,R$4)+(INDEX(Assumptions!$C$51:$G$51,1,R$4)-IF(R$4=1,Assumptions!$H$51,INDEX(Assumptions!$C$51:$G$51,1,MAX(1,R$4-1))))*(R$5-(R$6+1)/2)/R$6)*R28</f>
        <v>16.818749999999998</v>
      </c>
      <c r="S29" s="34">
        <f>(INDEX(Assumptions!$C$51:$G$51,1,S$4)+(INDEX(Assumptions!$C$51:$G$51,1,S$4)-IF(S$4=1,Assumptions!$H$51,INDEX(Assumptions!$C$51:$G$51,1,MAX(1,S$4-1))))*(S$5-(S$6+1)/2)/S$6)*S28</f>
        <v>17.489583333333332</v>
      </c>
      <c r="T29" s="34">
        <f>(INDEX(Assumptions!$C$51:$G$51,1,T$4)+(INDEX(Assumptions!$C$51:$G$51,1,T$4)-IF(T$4=1,Assumptions!$H$51,INDEX(Assumptions!$C$51:$G$51,1,MAX(1,T$4-1))))*(T$5-(T$6+1)/2)/T$6)*T28</f>
        <v>17.537499999999998</v>
      </c>
      <c r="U29" s="34">
        <f>(INDEX(Assumptions!$C$51:$G$51,1,U$4)+(INDEX(Assumptions!$C$51:$G$51,1,U$4)-IF(U$4=1,Assumptions!$H$51,INDEX(Assumptions!$C$51:$G$51,1,MAX(1,U$4-1))))*(U$5-(U$6+1)/2)/U$6)*U28</f>
        <v>18.112499999999997</v>
      </c>
      <c r="V29" s="34">
        <f>(INDEX(Assumptions!$C$51:$G$51,1,V$4)+(INDEX(Assumptions!$C$51:$G$51,1,V$4)-IF(V$4=1,Assumptions!$H$51,INDEX(Assumptions!$C$51:$G$51,1,MAX(1,V$4-1))))*(V$5-(V$6+1)/2)/V$6)*V28</f>
        <v>18.6875</v>
      </c>
      <c r="W29" s="34">
        <f>(INDEX(Assumptions!$C$51:$G$51,1,W$4)+(INDEX(Assumptions!$C$51:$G$51,1,W$4)-IF(W$4=1,Assumptions!$H$51,INDEX(Assumptions!$C$51:$G$51,1,MAX(1,W$4-1))))*(W$5-(W$6+1)/2)/W$6)*W28</f>
        <v>19.2625</v>
      </c>
      <c r="X29" s="34">
        <f>(INDEX(Assumptions!$C$51:$G$51,1,X$4)+(INDEX(Assumptions!$C$51:$G$51,1,X$4)-IF(X$4=1,Assumptions!$H$51,INDEX(Assumptions!$C$51:$G$51,1,MAX(1,X$4-1))))*(X$5-(X$6+1)/2)/X$6)*X28</f>
        <v>19.8375</v>
      </c>
      <c r="Y29" s="34">
        <f>(INDEX(Assumptions!$C$51:$G$51,1,Y$4)+(INDEX(Assumptions!$C$51:$G$51,1,Y$4)-IF(Y$4=1,Assumptions!$H$51,INDEX(Assumptions!$C$51:$G$51,1,MAX(1,Y$4-1))))*(Y$5-(Y$6+1)/2)/Y$6)*Y28</f>
        <v>20.412499999999998</v>
      </c>
      <c r="Z29" s="34">
        <f>(INDEX(Assumptions!$C$51:$G$51,1,Z$4)+(INDEX(Assumptions!$C$51:$G$51,1,Z$4)-IF(Z$4=1,Assumptions!$H$51,INDEX(Assumptions!$C$51:$G$51,1,MAX(1,Z$4-1))))*(Z$5-(Z$6+1)/2)/Z$6)*Z28</f>
        <v>20.987499999999997</v>
      </c>
      <c r="AA29" s="34">
        <f>(INDEX(Assumptions!$C$51:$G$51,1,AA$4)+(INDEX(Assumptions!$C$51:$G$51,1,AA$4)-IF(AA$4=1,Assumptions!$H$51,INDEX(Assumptions!$C$51:$G$51,1,MAX(1,AA$4-1))))*(AA$5-(AA$6+1)/2)/AA$6)*AA28</f>
        <v>21.5625</v>
      </c>
      <c r="AB29" s="34">
        <f>(INDEX(Assumptions!$C$51:$G$51,1,AB$4)+(INDEX(Assumptions!$C$51:$G$51,1,AB$4)-IF(AB$4=1,Assumptions!$H$51,INDEX(Assumptions!$C$51:$G$51,1,MAX(1,AB$4-1))))*(AB$5-(AB$6+1)/2)/AB$6)*AB28</f>
        <v>22.1375</v>
      </c>
      <c r="AC29" s="34">
        <f>(INDEX(Assumptions!$C$51:$G$51,1,AC$4)+(INDEX(Assumptions!$C$51:$G$51,1,AC$4)-IF(AC$4=1,Assumptions!$H$51,INDEX(Assumptions!$C$51:$G$51,1,MAX(1,AC$4-1))))*(AC$5-(AC$6+1)/2)/AC$6)*AC28</f>
        <v>22.7125</v>
      </c>
      <c r="AD29" s="34">
        <f>(INDEX(Assumptions!$C$51:$G$51,1,AD$4)+(INDEX(Assumptions!$C$51:$G$51,1,AD$4)-IF(AD$4=1,Assumptions!$H$51,INDEX(Assumptions!$C$51:$G$51,1,MAX(1,AD$4-1))))*(AD$5-(AD$6+1)/2)/AD$6)*AD28</f>
        <v>23.287499999999998</v>
      </c>
      <c r="AE29" s="34">
        <f>(INDEX(Assumptions!$C$51:$G$51,1,AE$4)+(INDEX(Assumptions!$C$51:$G$51,1,AE$4)-IF(AE$4=1,Assumptions!$H$51,INDEX(Assumptions!$C$51:$G$51,1,MAX(1,AE$4-1))))*(AE$5-(AE$6+1)/2)/AE$6)*AE28</f>
        <v>23.862499999999997</v>
      </c>
      <c r="AF29" s="34">
        <f>(INDEX(Assumptions!$C$51:$G$51,1,AF$4)+(INDEX(Assumptions!$C$51:$G$51,1,AF$4)-IF(AF$4=1,Assumptions!$H$51,INDEX(Assumptions!$C$51:$G$51,1,MAX(1,AF$4-1))))*(AF$5-(AF$6+1)/2)/AF$6)*AF28</f>
        <v>24.437499999999996</v>
      </c>
      <c r="AG29" s="34">
        <f>(INDEX(Assumptions!$C$51:$G$51,1,AG$4)+(INDEX(Assumptions!$C$51:$G$51,1,AG$4)-IF(AG$4=1,Assumptions!$H$51,INDEX(Assumptions!$C$51:$G$51,1,MAX(1,AG$4-1))))*(AG$5-(AG$6+1)/2)/AG$6)*AG28</f>
        <v>25.0125</v>
      </c>
      <c r="AH29" s="34">
        <f>(INDEX(Assumptions!$C$51:$G$51,1,AH$4)+(INDEX(Assumptions!$C$51:$G$51,1,AH$4)-IF(AH$4=1,Assumptions!$H$51,INDEX(Assumptions!$C$51:$G$51,1,MAX(1,AH$4-1))))*(AH$5-(AH$6+1)/2)/AH$6)*AH28</f>
        <v>25.5875</v>
      </c>
      <c r="AI29" s="34">
        <f>(INDEX(Assumptions!$C$51:$G$51,1,AI$4)+(INDEX(Assumptions!$C$51:$G$51,1,AI$4)-IF(AI$4=1,Assumptions!$H$51,INDEX(Assumptions!$C$51:$G$51,1,MAX(1,AI$4-1))))*(AI$5-(AI$6+1)/2)/AI$6)*AI28</f>
        <v>26.162499999999998</v>
      </c>
      <c r="AJ29" s="34">
        <f>(INDEX(Assumptions!$C$51:$G$51,1,AJ$4)+(INDEX(Assumptions!$C$51:$G$51,1,AJ$4)-IF(AJ$4=1,Assumptions!$H$51,INDEX(Assumptions!$C$51:$G$51,1,MAX(1,AJ$4-1))))*(AJ$5-(AJ$6+1)/2)/AJ$6)*AJ28</f>
        <v>26.737499999999997</v>
      </c>
      <c r="AK29" s="34">
        <f>(INDEX(Assumptions!$C$51:$G$51,1,AK$4)+(INDEX(Assumptions!$C$51:$G$51,1,AK$4)-IF(AK$4=1,Assumptions!$H$51,INDEX(Assumptions!$C$51:$G$51,1,MAX(1,AK$4-1))))*(AK$5-(AK$6+1)/2)/AK$6)*AK28</f>
        <v>27.312499999999996</v>
      </c>
      <c r="AL29" s="34">
        <f>(INDEX(Assumptions!$C$51:$G$51,1,AL$4)+(INDEX(Assumptions!$C$51:$G$51,1,AL$4)-IF(AL$4=1,Assumptions!$H$51,INDEX(Assumptions!$C$51:$G$51,1,MAX(1,AL$4-1))))*(AL$5-(AL$6+1)/2)/AL$6)*AL28</f>
        <v>27.8875</v>
      </c>
      <c r="AM29" s="34">
        <f>(INDEX(Assumptions!$C$51:$G$51,1,AM$4)+(INDEX(Assumptions!$C$51:$G$51,1,AM$4)-IF(AM$4=1,Assumptions!$H$51,INDEX(Assumptions!$C$51:$G$51,1,MAX(1,AM$4-1))))*(AM$5-(AM$6+1)/2)/AM$6)*AM28</f>
        <v>28.4625</v>
      </c>
      <c r="AN29" s="34">
        <f>(INDEX(Assumptions!$C$51:$G$51,1,AN$4)+(INDEX(Assumptions!$C$51:$G$51,1,AN$4)-IF(AN$4=1,Assumptions!$H$51,INDEX(Assumptions!$C$51:$G$51,1,MAX(1,AN$4-1))))*(AN$5-(AN$6+1)/2)/AN$6)*AN28</f>
        <v>29.037499999999998</v>
      </c>
      <c r="AO29" s="34">
        <f>(INDEX(Assumptions!$C$51:$G$51,1,AO$4)+(INDEX(Assumptions!$C$51:$G$51,1,AO$4)-IF(AO$4=1,Assumptions!$H$51,INDEX(Assumptions!$C$51:$G$51,1,MAX(1,AO$4-1))))*(AO$5-(AO$6+1)/2)/AO$6)*AO28</f>
        <v>29.612499999999997</v>
      </c>
      <c r="AP29" s="34">
        <f>(INDEX(Assumptions!$C$51:$G$51,1,AP$4)+(INDEX(Assumptions!$C$51:$G$51,1,AP$4)-IF(AP$4=1,Assumptions!$H$51,INDEX(Assumptions!$C$51:$G$51,1,MAX(1,AP$4-1))))*(AP$5-(AP$6+1)/2)/AP$6)*AP28</f>
        <v>30.187499999999996</v>
      </c>
      <c r="AQ29" s="34">
        <f>(INDEX(Assumptions!$C$51:$G$51,1,AQ$4)+(INDEX(Assumptions!$C$51:$G$51,1,AQ$4)-IF(AQ$4=1,Assumptions!$H$51,INDEX(Assumptions!$C$51:$G$51,1,MAX(1,AQ$4-1))))*(AQ$5-(AQ$6+1)/2)/AQ$6)*AQ28</f>
        <v>30.7625</v>
      </c>
      <c r="AR29" s="34">
        <f>(INDEX(Assumptions!$C$51:$G$51,1,AR$4)+(INDEX(Assumptions!$C$51:$G$51,1,AR$4)-IF(AR$4=1,Assumptions!$H$51,INDEX(Assumptions!$C$51:$G$51,1,MAX(1,AR$4-1))))*(AR$5-(AR$6+1)/2)/AR$6)*AR28</f>
        <v>31.3375</v>
      </c>
      <c r="AS29" s="34">
        <f>(INDEX(Assumptions!$C$51:$G$51,1,AS$4)+(INDEX(Assumptions!$C$51:$G$51,1,AS$4)-IF(AS$4=1,Assumptions!$H$51,INDEX(Assumptions!$C$51:$G$51,1,MAX(1,AS$4-1))))*(AS$5-(AS$6+1)/2)/AS$6)*AS28</f>
        <v>31.912499999999998</v>
      </c>
      <c r="AT29" s="34">
        <f>(INDEX(Assumptions!$C$51:$G$51,1,AT$4)+(INDEX(Assumptions!$C$51:$G$51,1,AT$4)-IF(AT$4=1,Assumptions!$H$51,INDEX(Assumptions!$C$51:$G$51,1,MAX(1,AT$4-1))))*(AT$5-(AT$6+1)/2)/AT$6)*AT28</f>
        <v>32.4875</v>
      </c>
      <c r="AU29" s="34">
        <f>(INDEX(Assumptions!$C$51:$G$51,1,AU$4)+(INDEX(Assumptions!$C$51:$G$51,1,AU$4)-IF(AU$4=1,Assumptions!$H$51,INDEX(Assumptions!$C$51:$G$51,1,MAX(1,AU$4-1))))*(AU$5-(AU$6+1)/2)/AU$6)*AU28</f>
        <v>33.0625</v>
      </c>
      <c r="AV29" s="34">
        <f>(INDEX(Assumptions!$C$51:$G$51,1,AV$4)+(INDEX(Assumptions!$C$51:$G$51,1,AV$4)-IF(AV$4=1,Assumptions!$H$51,INDEX(Assumptions!$C$51:$G$51,1,MAX(1,AV$4-1))))*(AV$5-(AV$6+1)/2)/AV$6)*AV28</f>
        <v>33.637499999999996</v>
      </c>
      <c r="AW29" s="34">
        <f>(INDEX(Assumptions!$C$51:$G$51,1,AW$4)+(INDEX(Assumptions!$C$51:$G$51,1,AW$4)-IF(AW$4=1,Assumptions!$H$51,INDEX(Assumptions!$C$51:$G$51,1,MAX(1,AW$4-1))))*(AW$5-(AW$6+1)/2)/AW$6)*AW28</f>
        <v>34.2125</v>
      </c>
      <c r="AX29" s="34">
        <f>(INDEX(Assumptions!$C$51:$G$51,1,AX$4)+(INDEX(Assumptions!$C$51:$G$51,1,AX$4)-IF(AX$4=1,Assumptions!$H$51,INDEX(Assumptions!$C$51:$G$51,1,MAX(1,AX$4-1))))*(AX$5-(AX$6+1)/2)/AX$6)*AX28</f>
        <v>34.787499999999994</v>
      </c>
      <c r="AY29" s="34">
        <f>(INDEX(Assumptions!$C$51:$G$51,1,AY$4)+(INDEX(Assumptions!$C$51:$G$51,1,AY$4)-IF(AY$4=1,Assumptions!$H$51,INDEX(Assumptions!$C$51:$G$51,1,MAX(1,AY$4-1))))*(AY$5-(AY$6+1)/2)/AY$6)*AY28</f>
        <v>35.3625</v>
      </c>
      <c r="AZ29" s="34">
        <f>(INDEX(Assumptions!$C$51:$G$51,1,AZ$4)+(INDEX(Assumptions!$C$51:$G$51,1,AZ$4)-IF(AZ$4=1,Assumptions!$H$51,INDEX(Assumptions!$C$51:$G$51,1,MAX(1,AZ$4-1))))*(AZ$5-(AZ$6+1)/2)/AZ$6)*AZ28</f>
        <v>35.9375</v>
      </c>
      <c r="BA29" s="34">
        <f>(INDEX(Assumptions!$C$51:$G$51,1,BA$4)+(INDEX(Assumptions!$C$51:$G$51,1,BA$4)-IF(BA$4=1,Assumptions!$H$51,INDEX(Assumptions!$C$51:$G$51,1,MAX(1,BA$4-1))))*(BA$5-(BA$6+1)/2)/BA$6)*BA28</f>
        <v>36.512499999999996</v>
      </c>
      <c r="BB29" s="34">
        <f>(INDEX(Assumptions!$C$51:$G$51,1,BB$4)+(INDEX(Assumptions!$C$51:$G$51,1,BB$4)-IF(BB$4=1,Assumptions!$H$51,INDEX(Assumptions!$C$51:$G$51,1,MAX(1,BB$4-1))))*(BB$5-(BB$6+1)/2)/BB$6)*BB28</f>
        <v>37.0875</v>
      </c>
      <c r="BC29" s="34">
        <f>(INDEX(Assumptions!$C$51:$G$51,1,BC$4)+(INDEX(Assumptions!$C$51:$G$51,1,BC$4)-IF(BC$4=1,Assumptions!$H$51,INDEX(Assumptions!$C$51:$G$51,1,MAX(1,BC$4-1))))*(BC$5-(BC$6+1)/2)/BC$6)*BC28</f>
        <v>37.662499999999994</v>
      </c>
    </row>
    <row r="30">
      <c r="A30" s="4" t="inlineStr">
        <is>
          <t>Heads: Growth &amp; content</t>
        </is>
      </c>
      <c r="B30" s="2" t="inlineStr">
        <is>
          <t>people (ramp)</t>
        </is>
      </c>
      <c r="C30" s="34">
        <f>(INDEX(Assumptions!$C$52:$G$52,1,C$4)+(INDEX(Assumptions!$C$52:$G$52,1,C$4)-IF(C$4=1,Assumptions!$H$52,INDEX(Assumptions!$C$52:$G$52,1,MAX(1,C$4-1))))*(C$5-(C$6+1)/2)/C$6)*C28</f>
        <v>1.6</v>
      </c>
      <c r="D30" s="34">
        <f>(INDEX(Assumptions!$C$52:$G$52,1,D$4)+(INDEX(Assumptions!$C$52:$G$52,1,D$4)-IF(D$4=1,Assumptions!$H$52,INDEX(Assumptions!$C$52:$G$52,1,MAX(1,D$4-1))))*(D$5-(D$6+1)/2)/D$6)*D28</f>
        <v>1.8</v>
      </c>
      <c r="E30" s="34">
        <f>(INDEX(Assumptions!$C$52:$G$52,1,E$4)+(INDEX(Assumptions!$C$52:$G$52,1,E$4)-IF(E$4=1,Assumptions!$H$52,INDEX(Assumptions!$C$52:$G$52,1,MAX(1,E$4-1))))*(E$5-(E$6+1)/2)/E$6)*E28</f>
        <v>2.0</v>
      </c>
      <c r="F30" s="34">
        <f>(INDEX(Assumptions!$C$52:$G$52,1,F$4)+(INDEX(Assumptions!$C$52:$G$52,1,F$4)-IF(F$4=1,Assumptions!$H$52,INDEX(Assumptions!$C$52:$G$52,1,MAX(1,F$4-1))))*(F$5-(F$6+1)/2)/F$6)*F28</f>
        <v>2.2</v>
      </c>
      <c r="G30" s="34">
        <f>(INDEX(Assumptions!$C$52:$G$52,1,G$4)+(INDEX(Assumptions!$C$52:$G$52,1,G$4)-IF(G$4=1,Assumptions!$H$52,INDEX(Assumptions!$C$52:$G$52,1,MAX(1,G$4-1))))*(G$5-(G$6+1)/2)/G$6)*G28</f>
        <v>2.4</v>
      </c>
      <c r="H30" s="34">
        <f>(INDEX(Assumptions!$C$52:$G$52,1,H$4)+(INDEX(Assumptions!$C$52:$G$52,1,H$4)-IF(H$4=1,Assumptions!$H$52,INDEX(Assumptions!$C$52:$G$52,1,MAX(1,H$4-1))))*(H$5-(H$6+1)/2)/H$6)*H28</f>
        <v>3.5458333333333334</v>
      </c>
      <c r="I30" s="34">
        <f>(INDEX(Assumptions!$C$52:$G$52,1,I$4)+(INDEX(Assumptions!$C$52:$G$52,1,I$4)-IF(I$4=1,Assumptions!$H$52,INDEX(Assumptions!$C$52:$G$52,1,MAX(1,I$4-1))))*(I$5-(I$6+1)/2)/I$6)*I28</f>
        <v>3.7375</v>
      </c>
      <c r="J30" s="34">
        <f>(INDEX(Assumptions!$C$52:$G$52,1,J$4)+(INDEX(Assumptions!$C$52:$G$52,1,J$4)-IF(J$4=1,Assumptions!$H$52,INDEX(Assumptions!$C$52:$G$52,1,MAX(1,J$4-1))))*(J$5-(J$6+1)/2)/J$6)*J28</f>
        <v>3.9291666666666663</v>
      </c>
      <c r="K30" s="34">
        <f>(INDEX(Assumptions!$C$52:$G$52,1,K$4)+(INDEX(Assumptions!$C$52:$G$52,1,K$4)-IF(K$4=1,Assumptions!$H$52,INDEX(Assumptions!$C$52:$G$52,1,MAX(1,K$4-1))))*(K$5-(K$6+1)/2)/K$6)*K28</f>
        <v>4.120833333333334</v>
      </c>
      <c r="L30" s="34">
        <f>(INDEX(Assumptions!$C$52:$G$52,1,L$4)+(INDEX(Assumptions!$C$52:$G$52,1,L$4)-IF(L$4=1,Assumptions!$H$52,INDEX(Assumptions!$C$52:$G$52,1,MAX(1,L$4-1))))*(L$5-(L$6+1)/2)/L$6)*L28</f>
        <v>4.3125</v>
      </c>
      <c r="M30" s="34">
        <f>(INDEX(Assumptions!$C$52:$G$52,1,M$4)+(INDEX(Assumptions!$C$52:$G$52,1,M$4)-IF(M$4=1,Assumptions!$H$52,INDEX(Assumptions!$C$52:$G$52,1,MAX(1,M$4-1))))*(M$5-(M$6+1)/2)/M$6)*M28</f>
        <v>4.504166666666666</v>
      </c>
      <c r="N30" s="34">
        <f>(INDEX(Assumptions!$C$52:$G$52,1,N$4)+(INDEX(Assumptions!$C$52:$G$52,1,N$4)-IF(N$4=1,Assumptions!$H$52,INDEX(Assumptions!$C$52:$G$52,1,MAX(1,N$4-1))))*(N$5-(N$6+1)/2)/N$6)*N28</f>
        <v>4.695833333333333</v>
      </c>
      <c r="O30" s="34">
        <f>(INDEX(Assumptions!$C$52:$G$52,1,O$4)+(INDEX(Assumptions!$C$52:$G$52,1,O$4)-IF(O$4=1,Assumptions!$H$52,INDEX(Assumptions!$C$52:$G$52,1,MAX(1,O$4-1))))*(O$5-(O$6+1)/2)/O$6)*O28</f>
        <v>4.887499999999999</v>
      </c>
      <c r="P30" s="34">
        <f>(INDEX(Assumptions!$C$52:$G$52,1,P$4)+(INDEX(Assumptions!$C$52:$G$52,1,P$4)-IF(P$4=1,Assumptions!$H$52,INDEX(Assumptions!$C$52:$G$52,1,MAX(1,P$4-1))))*(P$5-(P$6+1)/2)/P$6)*P28</f>
        <v>5.079166666666667</v>
      </c>
      <c r="Q30" s="34">
        <f>(INDEX(Assumptions!$C$52:$G$52,1,Q$4)+(INDEX(Assumptions!$C$52:$G$52,1,Q$4)-IF(Q$4=1,Assumptions!$H$52,INDEX(Assumptions!$C$52:$G$52,1,MAX(1,Q$4-1))))*(Q$5-(Q$6+1)/2)/Q$6)*Q28</f>
        <v>5.270833333333332</v>
      </c>
      <c r="R30" s="34">
        <f>(INDEX(Assumptions!$C$52:$G$52,1,R$4)+(INDEX(Assumptions!$C$52:$G$52,1,R$4)-IF(R$4=1,Assumptions!$H$52,INDEX(Assumptions!$C$52:$G$52,1,MAX(1,R$4-1))))*(R$5-(R$6+1)/2)/R$6)*R28</f>
        <v>5.4624999999999995</v>
      </c>
      <c r="S30" s="34">
        <f>(INDEX(Assumptions!$C$52:$G$52,1,S$4)+(INDEX(Assumptions!$C$52:$G$52,1,S$4)-IF(S$4=1,Assumptions!$H$52,INDEX(Assumptions!$C$52:$G$52,1,MAX(1,S$4-1))))*(S$5-(S$6+1)/2)/S$6)*S28</f>
        <v>5.654166666666667</v>
      </c>
      <c r="T30" s="34">
        <f>(INDEX(Assumptions!$C$52:$G$52,1,T$4)+(INDEX(Assumptions!$C$52:$G$52,1,T$4)-IF(T$4=1,Assumptions!$H$52,INDEX(Assumptions!$C$52:$G$52,1,MAX(1,T$4-1))))*(T$5-(T$6+1)/2)/T$6)*T28</f>
        <v>6.468749999999999</v>
      </c>
      <c r="U30" s="34">
        <f>(INDEX(Assumptions!$C$52:$G$52,1,U$4)+(INDEX(Assumptions!$C$52:$G$52,1,U$4)-IF(U$4=1,Assumptions!$H$52,INDEX(Assumptions!$C$52:$G$52,1,MAX(1,U$4-1))))*(U$5-(U$6+1)/2)/U$6)*U28</f>
        <v>6.75625</v>
      </c>
      <c r="V30" s="34">
        <f>(INDEX(Assumptions!$C$52:$G$52,1,V$4)+(INDEX(Assumptions!$C$52:$G$52,1,V$4)-IF(V$4=1,Assumptions!$H$52,INDEX(Assumptions!$C$52:$G$52,1,MAX(1,V$4-1))))*(V$5-(V$6+1)/2)/V$6)*V28</f>
        <v>7.043749999999999</v>
      </c>
      <c r="W30" s="34">
        <f>(INDEX(Assumptions!$C$52:$G$52,1,W$4)+(INDEX(Assumptions!$C$52:$G$52,1,W$4)-IF(W$4=1,Assumptions!$H$52,INDEX(Assumptions!$C$52:$G$52,1,MAX(1,W$4-1))))*(W$5-(W$6+1)/2)/W$6)*W28</f>
        <v>7.33125</v>
      </c>
      <c r="X30" s="34">
        <f>(INDEX(Assumptions!$C$52:$G$52,1,X$4)+(INDEX(Assumptions!$C$52:$G$52,1,X$4)-IF(X$4=1,Assumptions!$H$52,INDEX(Assumptions!$C$52:$G$52,1,MAX(1,X$4-1))))*(X$5-(X$6+1)/2)/X$6)*X28</f>
        <v>7.6187499999999995</v>
      </c>
      <c r="Y30" s="34">
        <f>(INDEX(Assumptions!$C$52:$G$52,1,Y$4)+(INDEX(Assumptions!$C$52:$G$52,1,Y$4)-IF(Y$4=1,Assumptions!$H$52,INDEX(Assumptions!$C$52:$G$52,1,MAX(1,Y$4-1))))*(Y$5-(Y$6+1)/2)/Y$6)*Y28</f>
        <v>7.906249999999999</v>
      </c>
      <c r="Z30" s="34">
        <f>(INDEX(Assumptions!$C$52:$G$52,1,Z$4)+(INDEX(Assumptions!$C$52:$G$52,1,Z$4)-IF(Z$4=1,Assumptions!$H$52,INDEX(Assumptions!$C$52:$G$52,1,MAX(1,Z$4-1))))*(Z$5-(Z$6+1)/2)/Z$6)*Z28</f>
        <v>8.19375</v>
      </c>
      <c r="AA30" s="34">
        <f>(INDEX(Assumptions!$C$52:$G$52,1,AA$4)+(INDEX(Assumptions!$C$52:$G$52,1,AA$4)-IF(AA$4=1,Assumptions!$H$52,INDEX(Assumptions!$C$52:$G$52,1,MAX(1,AA$4-1))))*(AA$5-(AA$6+1)/2)/AA$6)*AA28</f>
        <v>8.48125</v>
      </c>
      <c r="AB30" s="34">
        <f>(INDEX(Assumptions!$C$52:$G$52,1,AB$4)+(INDEX(Assumptions!$C$52:$G$52,1,AB$4)-IF(AB$4=1,Assumptions!$H$52,INDEX(Assumptions!$C$52:$G$52,1,MAX(1,AB$4-1))))*(AB$5-(AB$6+1)/2)/AB$6)*AB28</f>
        <v>8.768749999999999</v>
      </c>
      <c r="AC30" s="34">
        <f>(INDEX(Assumptions!$C$52:$G$52,1,AC$4)+(INDEX(Assumptions!$C$52:$G$52,1,AC$4)-IF(AC$4=1,Assumptions!$H$52,INDEX(Assumptions!$C$52:$G$52,1,MAX(1,AC$4-1))))*(AC$5-(AC$6+1)/2)/AC$6)*AC28</f>
        <v>9.056249999999999</v>
      </c>
      <c r="AD30" s="34">
        <f>(INDEX(Assumptions!$C$52:$G$52,1,AD$4)+(INDEX(Assumptions!$C$52:$G$52,1,AD$4)-IF(AD$4=1,Assumptions!$H$52,INDEX(Assumptions!$C$52:$G$52,1,MAX(1,AD$4-1))))*(AD$5-(AD$6+1)/2)/AD$6)*AD28</f>
        <v>9.34375</v>
      </c>
      <c r="AE30" s="34">
        <f>(INDEX(Assumptions!$C$52:$G$52,1,AE$4)+(INDEX(Assumptions!$C$52:$G$52,1,AE$4)-IF(AE$4=1,Assumptions!$H$52,INDEX(Assumptions!$C$52:$G$52,1,MAX(1,AE$4-1))))*(AE$5-(AE$6+1)/2)/AE$6)*AE28</f>
        <v>9.63125</v>
      </c>
      <c r="AF30" s="34">
        <f>(INDEX(Assumptions!$C$52:$G$52,1,AF$4)+(INDEX(Assumptions!$C$52:$G$52,1,AF$4)-IF(AF$4=1,Assumptions!$H$52,INDEX(Assumptions!$C$52:$G$52,1,MAX(1,AF$4-1))))*(AF$5-(AF$6+1)/2)/AF$6)*AF28</f>
        <v>9.295833333333333</v>
      </c>
      <c r="AG30" s="34">
        <f>(INDEX(Assumptions!$C$52:$G$52,1,AG$4)+(INDEX(Assumptions!$C$52:$G$52,1,AG$4)-IF(AG$4=1,Assumptions!$H$52,INDEX(Assumptions!$C$52:$G$52,1,MAX(1,AG$4-1))))*(AG$5-(AG$6+1)/2)/AG$6)*AG28</f>
        <v>9.487499999999999</v>
      </c>
      <c r="AH30" s="34">
        <f>(INDEX(Assumptions!$C$52:$G$52,1,AH$4)+(INDEX(Assumptions!$C$52:$G$52,1,AH$4)-IF(AH$4=1,Assumptions!$H$52,INDEX(Assumptions!$C$52:$G$52,1,MAX(1,AH$4-1))))*(AH$5-(AH$6+1)/2)/AH$6)*AH28</f>
        <v>9.679166666666665</v>
      </c>
      <c r="AI30" s="34">
        <f>(INDEX(Assumptions!$C$52:$G$52,1,AI$4)+(INDEX(Assumptions!$C$52:$G$52,1,AI$4)-IF(AI$4=1,Assumptions!$H$52,INDEX(Assumptions!$C$52:$G$52,1,MAX(1,AI$4-1))))*(AI$5-(AI$6+1)/2)/AI$6)*AI28</f>
        <v>9.870833333333334</v>
      </c>
      <c r="AJ30" s="34">
        <f>(INDEX(Assumptions!$C$52:$G$52,1,AJ$4)+(INDEX(Assumptions!$C$52:$G$52,1,AJ$4)-IF(AJ$4=1,Assumptions!$H$52,INDEX(Assumptions!$C$52:$G$52,1,MAX(1,AJ$4-1))))*(AJ$5-(AJ$6+1)/2)/AJ$6)*AJ28</f>
        <v>10.0625</v>
      </c>
      <c r="AK30" s="34">
        <f>(INDEX(Assumptions!$C$52:$G$52,1,AK$4)+(INDEX(Assumptions!$C$52:$G$52,1,AK$4)-IF(AK$4=1,Assumptions!$H$52,INDEX(Assumptions!$C$52:$G$52,1,MAX(1,AK$4-1))))*(AK$5-(AK$6+1)/2)/AK$6)*AK28</f>
        <v>10.254166666666665</v>
      </c>
      <c r="AL30" s="34">
        <f>(INDEX(Assumptions!$C$52:$G$52,1,AL$4)+(INDEX(Assumptions!$C$52:$G$52,1,AL$4)-IF(AL$4=1,Assumptions!$H$52,INDEX(Assumptions!$C$52:$G$52,1,MAX(1,AL$4-1))))*(AL$5-(AL$6+1)/2)/AL$6)*AL28</f>
        <v>10.445833333333333</v>
      </c>
      <c r="AM30" s="34">
        <f>(INDEX(Assumptions!$C$52:$G$52,1,AM$4)+(INDEX(Assumptions!$C$52:$G$52,1,AM$4)-IF(AM$4=1,Assumptions!$H$52,INDEX(Assumptions!$C$52:$G$52,1,MAX(1,AM$4-1))))*(AM$5-(AM$6+1)/2)/AM$6)*AM28</f>
        <v>10.6375</v>
      </c>
      <c r="AN30" s="34">
        <f>(INDEX(Assumptions!$C$52:$G$52,1,AN$4)+(INDEX(Assumptions!$C$52:$G$52,1,AN$4)-IF(AN$4=1,Assumptions!$H$52,INDEX(Assumptions!$C$52:$G$52,1,MAX(1,AN$4-1))))*(AN$5-(AN$6+1)/2)/AN$6)*AN28</f>
        <v>10.829166666666666</v>
      </c>
      <c r="AO30" s="34">
        <f>(INDEX(Assumptions!$C$52:$G$52,1,AO$4)+(INDEX(Assumptions!$C$52:$G$52,1,AO$4)-IF(AO$4=1,Assumptions!$H$52,INDEX(Assumptions!$C$52:$G$52,1,MAX(1,AO$4-1))))*(AO$5-(AO$6+1)/2)/AO$6)*AO28</f>
        <v>11.020833333333334</v>
      </c>
      <c r="AP30" s="34">
        <f>(INDEX(Assumptions!$C$52:$G$52,1,AP$4)+(INDEX(Assumptions!$C$52:$G$52,1,AP$4)-IF(AP$4=1,Assumptions!$H$52,INDEX(Assumptions!$C$52:$G$52,1,MAX(1,AP$4-1))))*(AP$5-(AP$6+1)/2)/AP$6)*AP28</f>
        <v>11.212499999999999</v>
      </c>
      <c r="AQ30" s="34">
        <f>(INDEX(Assumptions!$C$52:$G$52,1,AQ$4)+(INDEX(Assumptions!$C$52:$G$52,1,AQ$4)-IF(AQ$4=1,Assumptions!$H$52,INDEX(Assumptions!$C$52:$G$52,1,MAX(1,AQ$4-1))))*(AQ$5-(AQ$6+1)/2)/AQ$6)*AQ28</f>
        <v>11.404166666666665</v>
      </c>
      <c r="AR30" s="34">
        <f>(INDEX(Assumptions!$C$52:$G$52,1,AR$4)+(INDEX(Assumptions!$C$52:$G$52,1,AR$4)-IF(AR$4=1,Assumptions!$H$52,INDEX(Assumptions!$C$52:$G$52,1,MAX(1,AR$4-1))))*(AR$5-(AR$6+1)/2)/AR$6)*AR28</f>
        <v>11.595833333333333</v>
      </c>
      <c r="AS30" s="34">
        <f>(INDEX(Assumptions!$C$52:$G$52,1,AS$4)+(INDEX(Assumptions!$C$52:$G$52,1,AS$4)-IF(AS$4=1,Assumptions!$H$52,INDEX(Assumptions!$C$52:$G$52,1,MAX(1,AS$4-1))))*(AS$5-(AS$6+1)/2)/AS$6)*AS28</f>
        <v>11.7875</v>
      </c>
      <c r="AT30" s="34">
        <f>(INDEX(Assumptions!$C$52:$G$52,1,AT$4)+(INDEX(Assumptions!$C$52:$G$52,1,AT$4)-IF(AT$4=1,Assumptions!$H$52,INDEX(Assumptions!$C$52:$G$52,1,MAX(1,AT$4-1))))*(AT$5-(AT$6+1)/2)/AT$6)*AT28</f>
        <v>11.979166666666664</v>
      </c>
      <c r="AU30" s="34">
        <f>(INDEX(Assumptions!$C$52:$G$52,1,AU$4)+(INDEX(Assumptions!$C$52:$G$52,1,AU$4)-IF(AU$4=1,Assumptions!$H$52,INDEX(Assumptions!$C$52:$G$52,1,MAX(1,AU$4-1))))*(AU$5-(AU$6+1)/2)/AU$6)*AU28</f>
        <v>12.170833333333333</v>
      </c>
      <c r="AV30" s="34">
        <f>(INDEX(Assumptions!$C$52:$G$52,1,AV$4)+(INDEX(Assumptions!$C$52:$G$52,1,AV$4)-IF(AV$4=1,Assumptions!$H$52,INDEX(Assumptions!$C$52:$G$52,1,MAX(1,AV$4-1))))*(AV$5-(AV$6+1)/2)/AV$6)*AV28</f>
        <v>12.362499999999999</v>
      </c>
      <c r="AW30" s="34">
        <f>(INDEX(Assumptions!$C$52:$G$52,1,AW$4)+(INDEX(Assumptions!$C$52:$G$52,1,AW$4)-IF(AW$4=1,Assumptions!$H$52,INDEX(Assumptions!$C$52:$G$52,1,MAX(1,AW$4-1))))*(AW$5-(AW$6+1)/2)/AW$6)*AW28</f>
        <v>12.554166666666665</v>
      </c>
      <c r="AX30" s="34">
        <f>(INDEX(Assumptions!$C$52:$G$52,1,AX$4)+(INDEX(Assumptions!$C$52:$G$52,1,AX$4)-IF(AX$4=1,Assumptions!$H$52,INDEX(Assumptions!$C$52:$G$52,1,MAX(1,AX$4-1))))*(AX$5-(AX$6+1)/2)/AX$6)*AX28</f>
        <v>12.745833333333334</v>
      </c>
      <c r="AY30" s="34">
        <f>(INDEX(Assumptions!$C$52:$G$52,1,AY$4)+(INDEX(Assumptions!$C$52:$G$52,1,AY$4)-IF(AY$4=1,Assumptions!$H$52,INDEX(Assumptions!$C$52:$G$52,1,MAX(1,AY$4-1))))*(AY$5-(AY$6+1)/2)/AY$6)*AY28</f>
        <v>12.937499999999998</v>
      </c>
      <c r="AZ30" s="34">
        <f>(INDEX(Assumptions!$C$52:$G$52,1,AZ$4)+(INDEX(Assumptions!$C$52:$G$52,1,AZ$4)-IF(AZ$4=1,Assumptions!$H$52,INDEX(Assumptions!$C$52:$G$52,1,MAX(1,AZ$4-1))))*(AZ$5-(AZ$6+1)/2)/AZ$6)*AZ28</f>
        <v>13.129166666666665</v>
      </c>
      <c r="BA30" s="34">
        <f>(INDEX(Assumptions!$C$52:$G$52,1,BA$4)+(INDEX(Assumptions!$C$52:$G$52,1,BA$4)-IF(BA$4=1,Assumptions!$H$52,INDEX(Assumptions!$C$52:$G$52,1,MAX(1,BA$4-1))))*(BA$5-(BA$6+1)/2)/BA$6)*BA28</f>
        <v>13.320833333333333</v>
      </c>
      <c r="BB30" s="34">
        <f>(INDEX(Assumptions!$C$52:$G$52,1,BB$4)+(INDEX(Assumptions!$C$52:$G$52,1,BB$4)-IF(BB$4=1,Assumptions!$H$52,INDEX(Assumptions!$C$52:$G$52,1,MAX(1,BB$4-1))))*(BB$5-(BB$6+1)/2)/BB$6)*BB28</f>
        <v>13.5125</v>
      </c>
      <c r="BC30" s="34">
        <f>(INDEX(Assumptions!$C$52:$G$52,1,BC$4)+(INDEX(Assumptions!$C$52:$G$52,1,BC$4)-IF(BC$4=1,Assumptions!$H$52,INDEX(Assumptions!$C$52:$G$52,1,MAX(1,BC$4-1))))*(BC$5-(BC$6+1)/2)/BC$6)*BC28</f>
        <v>13.704166666666666</v>
      </c>
    </row>
    <row r="31">
      <c r="A31" s="4" t="inlineStr">
        <is>
          <t>Heads: Installer network &amp; partnerships</t>
        </is>
      </c>
      <c r="B31" s="2" t="inlineStr">
        <is>
          <t>people (ramp)</t>
        </is>
      </c>
      <c r="C31" s="34">
        <f>(INDEX(Assumptions!$C$53:$G$53,1,C$4)+(INDEX(Assumptions!$C$53:$G$53,1,C$4)-IF(C$4=1,Assumptions!$H$53,INDEX(Assumptions!$C$53:$G$53,1,MAX(1,C$4-1))))*(C$5-(C$6+1)/2)/C$6)*C28</f>
        <v>1.2</v>
      </c>
      <c r="D31" s="34">
        <f>(INDEX(Assumptions!$C$53:$G$53,1,D$4)+(INDEX(Assumptions!$C$53:$G$53,1,D$4)-IF(D$4=1,Assumptions!$H$53,INDEX(Assumptions!$C$53:$G$53,1,MAX(1,D$4-1))))*(D$5-(D$6+1)/2)/D$6)*D28</f>
        <v>1.6</v>
      </c>
      <c r="E31" s="34">
        <f>(INDEX(Assumptions!$C$53:$G$53,1,E$4)+(INDEX(Assumptions!$C$53:$G$53,1,E$4)-IF(E$4=1,Assumptions!$H$53,INDEX(Assumptions!$C$53:$G$53,1,MAX(1,E$4-1))))*(E$5-(E$6+1)/2)/E$6)*E28</f>
        <v>2.0</v>
      </c>
      <c r="F31" s="34">
        <f>(INDEX(Assumptions!$C$53:$G$53,1,F$4)+(INDEX(Assumptions!$C$53:$G$53,1,F$4)-IF(F$4=1,Assumptions!$H$53,INDEX(Assumptions!$C$53:$G$53,1,MAX(1,F$4-1))))*(F$5-(F$6+1)/2)/F$6)*F28</f>
        <v>2.4</v>
      </c>
      <c r="G31" s="34">
        <f>(INDEX(Assumptions!$C$53:$G$53,1,G$4)+(INDEX(Assumptions!$C$53:$G$53,1,G$4)-IF(G$4=1,Assumptions!$H$53,INDEX(Assumptions!$C$53:$G$53,1,MAX(1,G$4-1))))*(G$5-(G$6+1)/2)/G$6)*G28</f>
        <v>2.8</v>
      </c>
      <c r="H31" s="34">
        <f>(INDEX(Assumptions!$C$53:$G$53,1,H$4)+(INDEX(Assumptions!$C$53:$G$53,1,H$4)-IF(H$4=1,Assumptions!$H$53,INDEX(Assumptions!$C$53:$G$53,1,MAX(1,H$4-1))))*(H$5-(H$6+1)/2)/H$6)*H28</f>
        <v>4.168749999999999</v>
      </c>
      <c r="I31" s="34">
        <f>(INDEX(Assumptions!$C$53:$G$53,1,I$4)+(INDEX(Assumptions!$C$53:$G$53,1,I$4)-IF(I$4=1,Assumptions!$H$53,INDEX(Assumptions!$C$53:$G$53,1,MAX(1,I$4-1))))*(I$5-(I$6+1)/2)/I$6)*I28</f>
        <v>4.45625</v>
      </c>
      <c r="J31" s="34">
        <f>(INDEX(Assumptions!$C$53:$G$53,1,J$4)+(INDEX(Assumptions!$C$53:$G$53,1,J$4)-IF(J$4=1,Assumptions!$H$53,INDEX(Assumptions!$C$53:$G$53,1,MAX(1,J$4-1))))*(J$5-(J$6+1)/2)/J$6)*J28</f>
        <v>4.7437499999999995</v>
      </c>
      <c r="K31" s="34">
        <f>(INDEX(Assumptions!$C$53:$G$53,1,K$4)+(INDEX(Assumptions!$C$53:$G$53,1,K$4)-IF(K$4=1,Assumptions!$H$53,INDEX(Assumptions!$C$53:$G$53,1,MAX(1,K$4-1))))*(K$5-(K$6+1)/2)/K$6)*K28</f>
        <v>5.03125</v>
      </c>
      <c r="L31" s="34">
        <f>(INDEX(Assumptions!$C$53:$G$53,1,L$4)+(INDEX(Assumptions!$C$53:$G$53,1,L$4)-IF(L$4=1,Assumptions!$H$53,INDEX(Assumptions!$C$53:$G$53,1,MAX(1,L$4-1))))*(L$5-(L$6+1)/2)/L$6)*L28</f>
        <v>5.31875</v>
      </c>
      <c r="M31" s="34">
        <f>(INDEX(Assumptions!$C$53:$G$53,1,M$4)+(INDEX(Assumptions!$C$53:$G$53,1,M$4)-IF(M$4=1,Assumptions!$H$53,INDEX(Assumptions!$C$53:$G$53,1,MAX(1,M$4-1))))*(M$5-(M$6+1)/2)/M$6)*M28</f>
        <v>5.606249999999999</v>
      </c>
      <c r="N31" s="34">
        <f>(INDEX(Assumptions!$C$53:$G$53,1,N$4)+(INDEX(Assumptions!$C$53:$G$53,1,N$4)-IF(N$4=1,Assumptions!$H$53,INDEX(Assumptions!$C$53:$G$53,1,MAX(1,N$4-1))))*(N$5-(N$6+1)/2)/N$6)*N28</f>
        <v>5.89375</v>
      </c>
      <c r="O31" s="34">
        <f>(INDEX(Assumptions!$C$53:$G$53,1,O$4)+(INDEX(Assumptions!$C$53:$G$53,1,O$4)-IF(O$4=1,Assumptions!$H$53,INDEX(Assumptions!$C$53:$G$53,1,MAX(1,O$4-1))))*(O$5-(O$6+1)/2)/O$6)*O28</f>
        <v>6.1812499999999995</v>
      </c>
      <c r="P31" s="34">
        <f>(INDEX(Assumptions!$C$53:$G$53,1,P$4)+(INDEX(Assumptions!$C$53:$G$53,1,P$4)-IF(P$4=1,Assumptions!$H$53,INDEX(Assumptions!$C$53:$G$53,1,MAX(1,P$4-1))))*(P$5-(P$6+1)/2)/P$6)*P28</f>
        <v>6.468749999999999</v>
      </c>
      <c r="Q31" s="34">
        <f>(INDEX(Assumptions!$C$53:$G$53,1,Q$4)+(INDEX(Assumptions!$C$53:$G$53,1,Q$4)-IF(Q$4=1,Assumptions!$H$53,INDEX(Assumptions!$C$53:$G$53,1,MAX(1,Q$4-1))))*(Q$5-(Q$6+1)/2)/Q$6)*Q28</f>
        <v>6.75625</v>
      </c>
      <c r="R31" s="34">
        <f>(INDEX(Assumptions!$C$53:$G$53,1,R$4)+(INDEX(Assumptions!$C$53:$G$53,1,R$4)-IF(R$4=1,Assumptions!$H$53,INDEX(Assumptions!$C$53:$G$53,1,MAX(1,R$4-1))))*(R$5-(R$6+1)/2)/R$6)*R28</f>
        <v>7.043749999999999</v>
      </c>
      <c r="S31" s="34">
        <f>(INDEX(Assumptions!$C$53:$G$53,1,S$4)+(INDEX(Assumptions!$C$53:$G$53,1,S$4)-IF(S$4=1,Assumptions!$H$53,INDEX(Assumptions!$C$53:$G$53,1,MAX(1,S$4-1))))*(S$5-(S$6+1)/2)/S$6)*S28</f>
        <v>7.33125</v>
      </c>
      <c r="T31" s="34">
        <f>(INDEX(Assumptions!$C$53:$G$53,1,T$4)+(INDEX(Assumptions!$C$53:$G$53,1,T$4)-IF(T$4=1,Assumptions!$H$53,INDEX(Assumptions!$C$53:$G$53,1,MAX(1,T$4-1))))*(T$5-(T$6+1)/2)/T$6)*T28</f>
        <v>8.241666666666667</v>
      </c>
      <c r="U31" s="34">
        <f>(INDEX(Assumptions!$C$53:$G$53,1,U$4)+(INDEX(Assumptions!$C$53:$G$53,1,U$4)-IF(U$4=1,Assumptions!$H$53,INDEX(Assumptions!$C$53:$G$53,1,MAX(1,U$4-1))))*(U$5-(U$6+1)/2)/U$6)*U28</f>
        <v>8.625</v>
      </c>
      <c r="V31" s="34">
        <f>(INDEX(Assumptions!$C$53:$G$53,1,V$4)+(INDEX(Assumptions!$C$53:$G$53,1,V$4)-IF(V$4=1,Assumptions!$H$53,INDEX(Assumptions!$C$53:$G$53,1,MAX(1,V$4-1))))*(V$5-(V$6+1)/2)/V$6)*V28</f>
        <v>9.008333333333333</v>
      </c>
      <c r="W31" s="34">
        <f>(INDEX(Assumptions!$C$53:$G$53,1,W$4)+(INDEX(Assumptions!$C$53:$G$53,1,W$4)-IF(W$4=1,Assumptions!$H$53,INDEX(Assumptions!$C$53:$G$53,1,MAX(1,W$4-1))))*(W$5-(W$6+1)/2)/W$6)*W28</f>
        <v>9.391666666666666</v>
      </c>
      <c r="X31" s="34">
        <f>(INDEX(Assumptions!$C$53:$G$53,1,X$4)+(INDEX(Assumptions!$C$53:$G$53,1,X$4)-IF(X$4=1,Assumptions!$H$53,INDEX(Assumptions!$C$53:$G$53,1,MAX(1,X$4-1))))*(X$5-(X$6+1)/2)/X$6)*X28</f>
        <v>9.774999999999999</v>
      </c>
      <c r="Y31" s="34">
        <f>(INDEX(Assumptions!$C$53:$G$53,1,Y$4)+(INDEX(Assumptions!$C$53:$G$53,1,Y$4)-IF(Y$4=1,Assumptions!$H$53,INDEX(Assumptions!$C$53:$G$53,1,MAX(1,Y$4-1))))*(Y$5-(Y$6+1)/2)/Y$6)*Y28</f>
        <v>10.158333333333333</v>
      </c>
      <c r="Z31" s="34">
        <f>(INDEX(Assumptions!$C$53:$G$53,1,Z$4)+(INDEX(Assumptions!$C$53:$G$53,1,Z$4)-IF(Z$4=1,Assumptions!$H$53,INDEX(Assumptions!$C$53:$G$53,1,MAX(1,Z$4-1))))*(Z$5-(Z$6+1)/2)/Z$6)*Z28</f>
        <v>10.541666666666664</v>
      </c>
      <c r="AA31" s="34">
        <f>(INDEX(Assumptions!$C$53:$G$53,1,AA$4)+(INDEX(Assumptions!$C$53:$G$53,1,AA$4)-IF(AA$4=1,Assumptions!$H$53,INDEX(Assumptions!$C$53:$G$53,1,MAX(1,AA$4-1))))*(AA$5-(AA$6+1)/2)/AA$6)*AA28</f>
        <v>10.924999999999999</v>
      </c>
      <c r="AB31" s="34">
        <f>(INDEX(Assumptions!$C$53:$G$53,1,AB$4)+(INDEX(Assumptions!$C$53:$G$53,1,AB$4)-IF(AB$4=1,Assumptions!$H$53,INDEX(Assumptions!$C$53:$G$53,1,MAX(1,AB$4-1))))*(AB$5-(AB$6+1)/2)/AB$6)*AB28</f>
        <v>11.308333333333334</v>
      </c>
      <c r="AC31" s="34">
        <f>(INDEX(Assumptions!$C$53:$G$53,1,AC$4)+(INDEX(Assumptions!$C$53:$G$53,1,AC$4)-IF(AC$4=1,Assumptions!$H$53,INDEX(Assumptions!$C$53:$G$53,1,MAX(1,AC$4-1))))*(AC$5-(AC$6+1)/2)/AC$6)*AC28</f>
        <v>11.691666666666665</v>
      </c>
      <c r="AD31" s="34">
        <f>(INDEX(Assumptions!$C$53:$G$53,1,AD$4)+(INDEX(Assumptions!$C$53:$G$53,1,AD$4)-IF(AD$4=1,Assumptions!$H$53,INDEX(Assumptions!$C$53:$G$53,1,MAX(1,AD$4-1))))*(AD$5-(AD$6+1)/2)/AD$6)*AD28</f>
        <v>12.075</v>
      </c>
      <c r="AE31" s="34">
        <f>(INDEX(Assumptions!$C$53:$G$53,1,AE$4)+(INDEX(Assumptions!$C$53:$G$53,1,AE$4)-IF(AE$4=1,Assumptions!$H$53,INDEX(Assumptions!$C$53:$G$53,1,MAX(1,AE$4-1))))*(AE$5-(AE$6+1)/2)/AE$6)*AE28</f>
        <v>12.458333333333334</v>
      </c>
      <c r="AF31" s="34">
        <f>(INDEX(Assumptions!$C$53:$G$53,1,AF$4)+(INDEX(Assumptions!$C$53:$G$53,1,AF$4)-IF(AF$4=1,Assumptions!$H$53,INDEX(Assumptions!$C$53:$G$53,1,MAX(1,AF$4-1))))*(AF$5-(AF$6+1)/2)/AF$6)*AF28</f>
        <v>12.218749999999998</v>
      </c>
      <c r="AG31" s="34">
        <f>(INDEX(Assumptions!$C$53:$G$53,1,AG$4)+(INDEX(Assumptions!$C$53:$G$53,1,AG$4)-IF(AG$4=1,Assumptions!$H$53,INDEX(Assumptions!$C$53:$G$53,1,MAX(1,AG$4-1))))*(AG$5-(AG$6+1)/2)/AG$6)*AG28</f>
        <v>12.50625</v>
      </c>
      <c r="AH31" s="34">
        <f>(INDEX(Assumptions!$C$53:$G$53,1,AH$4)+(INDEX(Assumptions!$C$53:$G$53,1,AH$4)-IF(AH$4=1,Assumptions!$H$53,INDEX(Assumptions!$C$53:$G$53,1,MAX(1,AH$4-1))))*(AH$5-(AH$6+1)/2)/AH$6)*AH28</f>
        <v>12.79375</v>
      </c>
      <c r="AI31" s="34">
        <f>(INDEX(Assumptions!$C$53:$G$53,1,AI$4)+(INDEX(Assumptions!$C$53:$G$53,1,AI$4)-IF(AI$4=1,Assumptions!$H$53,INDEX(Assumptions!$C$53:$G$53,1,MAX(1,AI$4-1))))*(AI$5-(AI$6+1)/2)/AI$6)*AI28</f>
        <v>13.081249999999999</v>
      </c>
      <c r="AJ31" s="34">
        <f>(INDEX(Assumptions!$C$53:$G$53,1,AJ$4)+(INDEX(Assumptions!$C$53:$G$53,1,AJ$4)-IF(AJ$4=1,Assumptions!$H$53,INDEX(Assumptions!$C$53:$G$53,1,MAX(1,AJ$4-1))))*(AJ$5-(AJ$6+1)/2)/AJ$6)*AJ28</f>
        <v>13.368749999999999</v>
      </c>
      <c r="AK31" s="34">
        <f>(INDEX(Assumptions!$C$53:$G$53,1,AK$4)+(INDEX(Assumptions!$C$53:$G$53,1,AK$4)-IF(AK$4=1,Assumptions!$H$53,INDEX(Assumptions!$C$53:$G$53,1,MAX(1,AK$4-1))))*(AK$5-(AK$6+1)/2)/AK$6)*AK28</f>
        <v>13.656249999999998</v>
      </c>
      <c r="AL31" s="34">
        <f>(INDEX(Assumptions!$C$53:$G$53,1,AL$4)+(INDEX(Assumptions!$C$53:$G$53,1,AL$4)-IF(AL$4=1,Assumptions!$H$53,INDEX(Assumptions!$C$53:$G$53,1,MAX(1,AL$4-1))))*(AL$5-(AL$6+1)/2)/AL$6)*AL28</f>
        <v>13.94375</v>
      </c>
      <c r="AM31" s="34">
        <f>(INDEX(Assumptions!$C$53:$G$53,1,AM$4)+(INDEX(Assumptions!$C$53:$G$53,1,AM$4)-IF(AM$4=1,Assumptions!$H$53,INDEX(Assumptions!$C$53:$G$53,1,MAX(1,AM$4-1))))*(AM$5-(AM$6+1)/2)/AM$6)*AM28</f>
        <v>14.23125</v>
      </c>
      <c r="AN31" s="34">
        <f>(INDEX(Assumptions!$C$53:$G$53,1,AN$4)+(INDEX(Assumptions!$C$53:$G$53,1,AN$4)-IF(AN$4=1,Assumptions!$H$53,INDEX(Assumptions!$C$53:$G$53,1,MAX(1,AN$4-1))))*(AN$5-(AN$6+1)/2)/AN$6)*AN28</f>
        <v>14.518749999999999</v>
      </c>
      <c r="AO31" s="34">
        <f>(INDEX(Assumptions!$C$53:$G$53,1,AO$4)+(INDEX(Assumptions!$C$53:$G$53,1,AO$4)-IF(AO$4=1,Assumptions!$H$53,INDEX(Assumptions!$C$53:$G$53,1,MAX(1,AO$4-1))))*(AO$5-(AO$6+1)/2)/AO$6)*AO28</f>
        <v>14.806249999999999</v>
      </c>
      <c r="AP31" s="34">
        <f>(INDEX(Assumptions!$C$53:$G$53,1,AP$4)+(INDEX(Assumptions!$C$53:$G$53,1,AP$4)-IF(AP$4=1,Assumptions!$H$53,INDEX(Assumptions!$C$53:$G$53,1,MAX(1,AP$4-1))))*(AP$5-(AP$6+1)/2)/AP$6)*AP28</f>
        <v>15.093749999999998</v>
      </c>
      <c r="AQ31" s="34">
        <f>(INDEX(Assumptions!$C$53:$G$53,1,AQ$4)+(INDEX(Assumptions!$C$53:$G$53,1,AQ$4)-IF(AQ$4=1,Assumptions!$H$53,INDEX(Assumptions!$C$53:$G$53,1,MAX(1,AQ$4-1))))*(AQ$5-(AQ$6+1)/2)/AQ$6)*AQ28</f>
        <v>15.38125</v>
      </c>
      <c r="AR31" s="34">
        <f>(INDEX(Assumptions!$C$53:$G$53,1,AR$4)+(INDEX(Assumptions!$C$53:$G$53,1,AR$4)-IF(AR$4=1,Assumptions!$H$53,INDEX(Assumptions!$C$53:$G$53,1,MAX(1,AR$4-1))))*(AR$5-(AR$6+1)/2)/AR$6)*AR28</f>
        <v>15.66875</v>
      </c>
      <c r="AS31" s="34">
        <f>(INDEX(Assumptions!$C$53:$G$53,1,AS$4)+(INDEX(Assumptions!$C$53:$G$53,1,AS$4)-IF(AS$4=1,Assumptions!$H$53,INDEX(Assumptions!$C$53:$G$53,1,MAX(1,AS$4-1))))*(AS$5-(AS$6+1)/2)/AS$6)*AS28</f>
        <v>15.956249999999999</v>
      </c>
      <c r="AT31" s="34">
        <f>(INDEX(Assumptions!$C$53:$G$53,1,AT$4)+(INDEX(Assumptions!$C$53:$G$53,1,AT$4)-IF(AT$4=1,Assumptions!$H$53,INDEX(Assumptions!$C$53:$G$53,1,MAX(1,AT$4-1))))*(AT$5-(AT$6+1)/2)/AT$6)*AT28</f>
        <v>16.24375</v>
      </c>
      <c r="AU31" s="34">
        <f>(INDEX(Assumptions!$C$53:$G$53,1,AU$4)+(INDEX(Assumptions!$C$53:$G$53,1,AU$4)-IF(AU$4=1,Assumptions!$H$53,INDEX(Assumptions!$C$53:$G$53,1,MAX(1,AU$4-1))))*(AU$5-(AU$6+1)/2)/AU$6)*AU28</f>
        <v>16.53125</v>
      </c>
      <c r="AV31" s="34">
        <f>(INDEX(Assumptions!$C$53:$G$53,1,AV$4)+(INDEX(Assumptions!$C$53:$G$53,1,AV$4)-IF(AV$4=1,Assumptions!$H$53,INDEX(Assumptions!$C$53:$G$53,1,MAX(1,AV$4-1))))*(AV$5-(AV$6+1)/2)/AV$6)*AV28</f>
        <v>16.818749999999998</v>
      </c>
      <c r="AW31" s="34">
        <f>(INDEX(Assumptions!$C$53:$G$53,1,AW$4)+(INDEX(Assumptions!$C$53:$G$53,1,AW$4)-IF(AW$4=1,Assumptions!$H$53,INDEX(Assumptions!$C$53:$G$53,1,MAX(1,AW$4-1))))*(AW$5-(AW$6+1)/2)/AW$6)*AW28</f>
        <v>17.10625</v>
      </c>
      <c r="AX31" s="34">
        <f>(INDEX(Assumptions!$C$53:$G$53,1,AX$4)+(INDEX(Assumptions!$C$53:$G$53,1,AX$4)-IF(AX$4=1,Assumptions!$H$53,INDEX(Assumptions!$C$53:$G$53,1,MAX(1,AX$4-1))))*(AX$5-(AX$6+1)/2)/AX$6)*AX28</f>
        <v>17.393749999999997</v>
      </c>
      <c r="AY31" s="34">
        <f>(INDEX(Assumptions!$C$53:$G$53,1,AY$4)+(INDEX(Assumptions!$C$53:$G$53,1,AY$4)-IF(AY$4=1,Assumptions!$H$53,INDEX(Assumptions!$C$53:$G$53,1,MAX(1,AY$4-1))))*(AY$5-(AY$6+1)/2)/AY$6)*AY28</f>
        <v>17.68125</v>
      </c>
      <c r="AZ31" s="34">
        <f>(INDEX(Assumptions!$C$53:$G$53,1,AZ$4)+(INDEX(Assumptions!$C$53:$G$53,1,AZ$4)-IF(AZ$4=1,Assumptions!$H$53,INDEX(Assumptions!$C$53:$G$53,1,MAX(1,AZ$4-1))))*(AZ$5-(AZ$6+1)/2)/AZ$6)*AZ28</f>
        <v>17.96875</v>
      </c>
      <c r="BA31" s="34">
        <f>(INDEX(Assumptions!$C$53:$G$53,1,BA$4)+(INDEX(Assumptions!$C$53:$G$53,1,BA$4)-IF(BA$4=1,Assumptions!$H$53,INDEX(Assumptions!$C$53:$G$53,1,MAX(1,BA$4-1))))*(BA$5-(BA$6+1)/2)/BA$6)*BA28</f>
        <v>18.256249999999998</v>
      </c>
      <c r="BB31" s="34">
        <f>(INDEX(Assumptions!$C$53:$G$53,1,BB$4)+(INDEX(Assumptions!$C$53:$G$53,1,BB$4)-IF(BB$4=1,Assumptions!$H$53,INDEX(Assumptions!$C$53:$G$53,1,MAX(1,BB$4-1))))*(BB$5-(BB$6+1)/2)/BB$6)*BB28</f>
        <v>18.54375</v>
      </c>
      <c r="BC31" s="34">
        <f>(INDEX(Assumptions!$C$53:$G$53,1,BC$4)+(INDEX(Assumptions!$C$53:$G$53,1,BC$4)-IF(BC$4=1,Assumptions!$H$53,INDEX(Assumptions!$C$53:$G$53,1,MAX(1,BC$4-1))))*(BC$5-(BC$6+1)/2)/BC$6)*BC28</f>
        <v>18.831249999999997</v>
      </c>
    </row>
    <row r="32">
      <c r="A32" s="4" t="inlineStr">
        <is>
          <t>Heads: Customer &amp; installer support</t>
        </is>
      </c>
      <c r="B32" s="2" t="inlineStr">
        <is>
          <t>people (ramp)</t>
        </is>
      </c>
      <c r="C32" s="34">
        <f>(INDEX(Assumptions!$C$54:$G$54,1,C$4)+(INDEX(Assumptions!$C$54:$G$54,1,C$4)-IF(C$4=1,Assumptions!$H$54,INDEX(Assumptions!$C$54:$G$54,1,MAX(1,C$4-1))))*(C$5-(C$6+1)/2)/C$6)*C28</f>
        <v>0.6</v>
      </c>
      <c r="D32" s="34">
        <f>(INDEX(Assumptions!$C$54:$G$54,1,D$4)+(INDEX(Assumptions!$C$54:$G$54,1,D$4)-IF(D$4=1,Assumptions!$H$54,INDEX(Assumptions!$C$54:$G$54,1,MAX(1,D$4-1))))*(D$5-(D$6+1)/2)/D$6)*D28</f>
        <v>0.8</v>
      </c>
      <c r="E32" s="34">
        <f>(INDEX(Assumptions!$C$54:$G$54,1,E$4)+(INDEX(Assumptions!$C$54:$G$54,1,E$4)-IF(E$4=1,Assumptions!$H$54,INDEX(Assumptions!$C$54:$G$54,1,MAX(1,E$4-1))))*(E$5-(E$6+1)/2)/E$6)*E28</f>
        <v>1.0</v>
      </c>
      <c r="F32" s="34">
        <f>(INDEX(Assumptions!$C$54:$G$54,1,F$4)+(INDEX(Assumptions!$C$54:$G$54,1,F$4)-IF(F$4=1,Assumptions!$H$54,INDEX(Assumptions!$C$54:$G$54,1,MAX(1,F$4-1))))*(F$5-(F$6+1)/2)/F$6)*F28</f>
        <v>1.2</v>
      </c>
      <c r="G32" s="34">
        <f>(INDEX(Assumptions!$C$54:$G$54,1,G$4)+(INDEX(Assumptions!$C$54:$G$54,1,G$4)-IF(G$4=1,Assumptions!$H$54,INDEX(Assumptions!$C$54:$G$54,1,MAX(1,G$4-1))))*(G$5-(G$6+1)/2)/G$6)*G28</f>
        <v>1.4</v>
      </c>
      <c r="H32" s="34">
        <f>(INDEX(Assumptions!$C$54:$G$54,1,H$4)+(INDEX(Assumptions!$C$54:$G$54,1,H$4)-IF(H$4=1,Assumptions!$H$54,INDEX(Assumptions!$C$54:$G$54,1,MAX(1,H$4-1))))*(H$5-(H$6+1)/2)/H$6)*H28</f>
        <v>2.3958333333333335</v>
      </c>
      <c r="I32" s="34">
        <f>(INDEX(Assumptions!$C$54:$G$54,1,I$4)+(INDEX(Assumptions!$C$54:$G$54,1,I$4)-IF(I$4=1,Assumptions!$H$54,INDEX(Assumptions!$C$54:$G$54,1,MAX(1,I$4-1))))*(I$5-(I$6+1)/2)/I$6)*I28</f>
        <v>2.5875</v>
      </c>
      <c r="J32" s="34">
        <f>(INDEX(Assumptions!$C$54:$G$54,1,J$4)+(INDEX(Assumptions!$C$54:$G$54,1,J$4)-IF(J$4=1,Assumptions!$H$54,INDEX(Assumptions!$C$54:$G$54,1,MAX(1,J$4-1))))*(J$5-(J$6+1)/2)/J$6)*J28</f>
        <v>2.7791666666666663</v>
      </c>
      <c r="K32" s="34">
        <f>(INDEX(Assumptions!$C$54:$G$54,1,K$4)+(INDEX(Assumptions!$C$54:$G$54,1,K$4)-IF(K$4=1,Assumptions!$H$54,INDEX(Assumptions!$C$54:$G$54,1,MAX(1,K$4-1))))*(K$5-(K$6+1)/2)/K$6)*K28</f>
        <v>2.970833333333333</v>
      </c>
      <c r="L32" s="34">
        <f>(INDEX(Assumptions!$C$54:$G$54,1,L$4)+(INDEX(Assumptions!$C$54:$G$54,1,L$4)-IF(L$4=1,Assumptions!$H$54,INDEX(Assumptions!$C$54:$G$54,1,MAX(1,L$4-1))))*(L$5-(L$6+1)/2)/L$6)*L28</f>
        <v>3.1624999999999996</v>
      </c>
      <c r="M32" s="34">
        <f>(INDEX(Assumptions!$C$54:$G$54,1,M$4)+(INDEX(Assumptions!$C$54:$G$54,1,M$4)-IF(M$4=1,Assumptions!$H$54,INDEX(Assumptions!$C$54:$G$54,1,MAX(1,M$4-1))))*(M$5-(M$6+1)/2)/M$6)*M28</f>
        <v>3.354166666666666</v>
      </c>
      <c r="N32" s="34">
        <f>(INDEX(Assumptions!$C$54:$G$54,1,N$4)+(INDEX(Assumptions!$C$54:$G$54,1,N$4)-IF(N$4=1,Assumptions!$H$54,INDEX(Assumptions!$C$54:$G$54,1,MAX(1,N$4-1))))*(N$5-(N$6+1)/2)/N$6)*N28</f>
        <v>3.5458333333333334</v>
      </c>
      <c r="O32" s="34">
        <f>(INDEX(Assumptions!$C$54:$G$54,1,O$4)+(INDEX(Assumptions!$C$54:$G$54,1,O$4)-IF(O$4=1,Assumptions!$H$54,INDEX(Assumptions!$C$54:$G$54,1,MAX(1,O$4-1))))*(O$5-(O$6+1)/2)/O$6)*O28</f>
        <v>3.7375</v>
      </c>
      <c r="P32" s="34">
        <f>(INDEX(Assumptions!$C$54:$G$54,1,P$4)+(INDEX(Assumptions!$C$54:$G$54,1,P$4)-IF(P$4=1,Assumptions!$H$54,INDEX(Assumptions!$C$54:$G$54,1,MAX(1,P$4-1))))*(P$5-(P$6+1)/2)/P$6)*P28</f>
        <v>3.9291666666666663</v>
      </c>
      <c r="Q32" s="34">
        <f>(INDEX(Assumptions!$C$54:$G$54,1,Q$4)+(INDEX(Assumptions!$C$54:$G$54,1,Q$4)-IF(Q$4=1,Assumptions!$H$54,INDEX(Assumptions!$C$54:$G$54,1,MAX(1,Q$4-1))))*(Q$5-(Q$6+1)/2)/Q$6)*Q28</f>
        <v>4.120833333333334</v>
      </c>
      <c r="R32" s="34">
        <f>(INDEX(Assumptions!$C$54:$G$54,1,R$4)+(INDEX(Assumptions!$C$54:$G$54,1,R$4)-IF(R$4=1,Assumptions!$H$54,INDEX(Assumptions!$C$54:$G$54,1,MAX(1,R$4-1))))*(R$5-(R$6+1)/2)/R$6)*R28</f>
        <v>4.3125</v>
      </c>
      <c r="S32" s="34">
        <f>(INDEX(Assumptions!$C$54:$G$54,1,S$4)+(INDEX(Assumptions!$C$54:$G$54,1,S$4)-IF(S$4=1,Assumptions!$H$54,INDEX(Assumptions!$C$54:$G$54,1,MAX(1,S$4-1))))*(S$5-(S$6+1)/2)/S$6)*S28</f>
        <v>4.504166666666666</v>
      </c>
      <c r="T32" s="34">
        <f>(INDEX(Assumptions!$C$54:$G$54,1,T$4)+(INDEX(Assumptions!$C$54:$G$54,1,T$4)-IF(T$4=1,Assumptions!$H$54,INDEX(Assumptions!$C$54:$G$54,1,MAX(1,T$4-1))))*(T$5-(T$6+1)/2)/T$6)*T28</f>
        <v>5.31875</v>
      </c>
      <c r="U32" s="34">
        <f>(INDEX(Assumptions!$C$54:$G$54,1,U$4)+(INDEX(Assumptions!$C$54:$G$54,1,U$4)-IF(U$4=1,Assumptions!$H$54,INDEX(Assumptions!$C$54:$G$54,1,MAX(1,U$4-1))))*(U$5-(U$6+1)/2)/U$6)*U28</f>
        <v>5.606249999999999</v>
      </c>
      <c r="V32" s="34">
        <f>(INDEX(Assumptions!$C$54:$G$54,1,V$4)+(INDEX(Assumptions!$C$54:$G$54,1,V$4)-IF(V$4=1,Assumptions!$H$54,INDEX(Assumptions!$C$54:$G$54,1,MAX(1,V$4-1))))*(V$5-(V$6+1)/2)/V$6)*V28</f>
        <v>5.89375</v>
      </c>
      <c r="W32" s="34">
        <f>(INDEX(Assumptions!$C$54:$G$54,1,W$4)+(INDEX(Assumptions!$C$54:$G$54,1,W$4)-IF(W$4=1,Assumptions!$H$54,INDEX(Assumptions!$C$54:$G$54,1,MAX(1,W$4-1))))*(W$5-(W$6+1)/2)/W$6)*W28</f>
        <v>6.1812499999999995</v>
      </c>
      <c r="X32" s="34">
        <f>(INDEX(Assumptions!$C$54:$G$54,1,X$4)+(INDEX(Assumptions!$C$54:$G$54,1,X$4)-IF(X$4=1,Assumptions!$H$54,INDEX(Assumptions!$C$54:$G$54,1,MAX(1,X$4-1))))*(X$5-(X$6+1)/2)/X$6)*X28</f>
        <v>6.468749999999999</v>
      </c>
      <c r="Y32" s="34">
        <f>(INDEX(Assumptions!$C$54:$G$54,1,Y$4)+(INDEX(Assumptions!$C$54:$G$54,1,Y$4)-IF(Y$4=1,Assumptions!$H$54,INDEX(Assumptions!$C$54:$G$54,1,MAX(1,Y$4-1))))*(Y$5-(Y$6+1)/2)/Y$6)*Y28</f>
        <v>6.75625</v>
      </c>
      <c r="Z32" s="34">
        <f>(INDEX(Assumptions!$C$54:$G$54,1,Z$4)+(INDEX(Assumptions!$C$54:$G$54,1,Z$4)-IF(Z$4=1,Assumptions!$H$54,INDEX(Assumptions!$C$54:$G$54,1,MAX(1,Z$4-1))))*(Z$5-(Z$6+1)/2)/Z$6)*Z28</f>
        <v>7.043749999999999</v>
      </c>
      <c r="AA32" s="34">
        <f>(INDEX(Assumptions!$C$54:$G$54,1,AA$4)+(INDEX(Assumptions!$C$54:$G$54,1,AA$4)-IF(AA$4=1,Assumptions!$H$54,INDEX(Assumptions!$C$54:$G$54,1,MAX(1,AA$4-1))))*(AA$5-(AA$6+1)/2)/AA$6)*AA28</f>
        <v>7.33125</v>
      </c>
      <c r="AB32" s="34">
        <f>(INDEX(Assumptions!$C$54:$G$54,1,AB$4)+(INDEX(Assumptions!$C$54:$G$54,1,AB$4)-IF(AB$4=1,Assumptions!$H$54,INDEX(Assumptions!$C$54:$G$54,1,MAX(1,AB$4-1))))*(AB$5-(AB$6+1)/2)/AB$6)*AB28</f>
        <v>7.6187499999999995</v>
      </c>
      <c r="AC32" s="34">
        <f>(INDEX(Assumptions!$C$54:$G$54,1,AC$4)+(INDEX(Assumptions!$C$54:$G$54,1,AC$4)-IF(AC$4=1,Assumptions!$H$54,INDEX(Assumptions!$C$54:$G$54,1,MAX(1,AC$4-1))))*(AC$5-(AC$6+1)/2)/AC$6)*AC28</f>
        <v>7.906249999999999</v>
      </c>
      <c r="AD32" s="34">
        <f>(INDEX(Assumptions!$C$54:$G$54,1,AD$4)+(INDEX(Assumptions!$C$54:$G$54,1,AD$4)-IF(AD$4=1,Assumptions!$H$54,INDEX(Assumptions!$C$54:$G$54,1,MAX(1,AD$4-1))))*(AD$5-(AD$6+1)/2)/AD$6)*AD28</f>
        <v>8.19375</v>
      </c>
      <c r="AE32" s="34">
        <f>(INDEX(Assumptions!$C$54:$G$54,1,AE$4)+(INDEX(Assumptions!$C$54:$G$54,1,AE$4)-IF(AE$4=1,Assumptions!$H$54,INDEX(Assumptions!$C$54:$G$54,1,MAX(1,AE$4-1))))*(AE$5-(AE$6+1)/2)/AE$6)*AE28</f>
        <v>8.48125</v>
      </c>
      <c r="AF32" s="34">
        <f>(INDEX(Assumptions!$C$54:$G$54,1,AF$4)+(INDEX(Assumptions!$C$54:$G$54,1,AF$4)-IF(AF$4=1,Assumptions!$H$54,INDEX(Assumptions!$C$54:$G$54,1,MAX(1,AF$4-1))))*(AF$5-(AF$6+1)/2)/AF$6)*AF28</f>
        <v>8.768749999999999</v>
      </c>
      <c r="AG32" s="34">
        <f>(INDEX(Assumptions!$C$54:$G$54,1,AG$4)+(INDEX(Assumptions!$C$54:$G$54,1,AG$4)-IF(AG$4=1,Assumptions!$H$54,INDEX(Assumptions!$C$54:$G$54,1,MAX(1,AG$4-1))))*(AG$5-(AG$6+1)/2)/AG$6)*AG28</f>
        <v>9.056249999999999</v>
      </c>
      <c r="AH32" s="34">
        <f>(INDEX(Assumptions!$C$54:$G$54,1,AH$4)+(INDEX(Assumptions!$C$54:$G$54,1,AH$4)-IF(AH$4=1,Assumptions!$H$54,INDEX(Assumptions!$C$54:$G$54,1,MAX(1,AH$4-1))))*(AH$5-(AH$6+1)/2)/AH$6)*AH28</f>
        <v>9.34375</v>
      </c>
      <c r="AI32" s="34">
        <f>(INDEX(Assumptions!$C$54:$G$54,1,AI$4)+(INDEX(Assumptions!$C$54:$G$54,1,AI$4)-IF(AI$4=1,Assumptions!$H$54,INDEX(Assumptions!$C$54:$G$54,1,MAX(1,AI$4-1))))*(AI$5-(AI$6+1)/2)/AI$6)*AI28</f>
        <v>9.63125</v>
      </c>
      <c r="AJ32" s="34">
        <f>(INDEX(Assumptions!$C$54:$G$54,1,AJ$4)+(INDEX(Assumptions!$C$54:$G$54,1,AJ$4)-IF(AJ$4=1,Assumptions!$H$54,INDEX(Assumptions!$C$54:$G$54,1,MAX(1,AJ$4-1))))*(AJ$5-(AJ$6+1)/2)/AJ$6)*AJ28</f>
        <v>9.91875</v>
      </c>
      <c r="AK32" s="34">
        <f>(INDEX(Assumptions!$C$54:$G$54,1,AK$4)+(INDEX(Assumptions!$C$54:$G$54,1,AK$4)-IF(AK$4=1,Assumptions!$H$54,INDEX(Assumptions!$C$54:$G$54,1,MAX(1,AK$4-1))))*(AK$5-(AK$6+1)/2)/AK$6)*AK28</f>
        <v>10.206249999999999</v>
      </c>
      <c r="AL32" s="34">
        <f>(INDEX(Assumptions!$C$54:$G$54,1,AL$4)+(INDEX(Assumptions!$C$54:$G$54,1,AL$4)-IF(AL$4=1,Assumptions!$H$54,INDEX(Assumptions!$C$54:$G$54,1,MAX(1,AL$4-1))))*(AL$5-(AL$6+1)/2)/AL$6)*AL28</f>
        <v>10.493749999999999</v>
      </c>
      <c r="AM32" s="34">
        <f>(INDEX(Assumptions!$C$54:$G$54,1,AM$4)+(INDEX(Assumptions!$C$54:$G$54,1,AM$4)-IF(AM$4=1,Assumptions!$H$54,INDEX(Assumptions!$C$54:$G$54,1,MAX(1,AM$4-1))))*(AM$5-(AM$6+1)/2)/AM$6)*AM28</f>
        <v>10.78125</v>
      </c>
      <c r="AN32" s="34">
        <f>(INDEX(Assumptions!$C$54:$G$54,1,AN$4)+(INDEX(Assumptions!$C$54:$G$54,1,AN$4)-IF(AN$4=1,Assumptions!$H$54,INDEX(Assumptions!$C$54:$G$54,1,MAX(1,AN$4-1))))*(AN$5-(AN$6+1)/2)/AN$6)*AN28</f>
        <v>11.06875</v>
      </c>
      <c r="AO32" s="34">
        <f>(INDEX(Assumptions!$C$54:$G$54,1,AO$4)+(INDEX(Assumptions!$C$54:$G$54,1,AO$4)-IF(AO$4=1,Assumptions!$H$54,INDEX(Assumptions!$C$54:$G$54,1,MAX(1,AO$4-1))))*(AO$5-(AO$6+1)/2)/AO$6)*AO28</f>
        <v>11.35625</v>
      </c>
      <c r="AP32" s="34">
        <f>(INDEX(Assumptions!$C$54:$G$54,1,AP$4)+(INDEX(Assumptions!$C$54:$G$54,1,AP$4)-IF(AP$4=1,Assumptions!$H$54,INDEX(Assumptions!$C$54:$G$54,1,MAX(1,AP$4-1))))*(AP$5-(AP$6+1)/2)/AP$6)*AP28</f>
        <v>11.643749999999999</v>
      </c>
      <c r="AQ32" s="34">
        <f>(INDEX(Assumptions!$C$54:$G$54,1,AQ$4)+(INDEX(Assumptions!$C$54:$G$54,1,AQ$4)-IF(AQ$4=1,Assumptions!$H$54,INDEX(Assumptions!$C$54:$G$54,1,MAX(1,AQ$4-1))))*(AQ$5-(AQ$6+1)/2)/AQ$6)*AQ28</f>
        <v>11.931249999999999</v>
      </c>
      <c r="AR32" s="34">
        <f>(INDEX(Assumptions!$C$54:$G$54,1,AR$4)+(INDEX(Assumptions!$C$54:$G$54,1,AR$4)-IF(AR$4=1,Assumptions!$H$54,INDEX(Assumptions!$C$54:$G$54,1,MAX(1,AR$4-1))))*(AR$5-(AR$6+1)/2)/AR$6)*AR28</f>
        <v>12.218749999999998</v>
      </c>
      <c r="AS32" s="34">
        <f>(INDEX(Assumptions!$C$54:$G$54,1,AS$4)+(INDEX(Assumptions!$C$54:$G$54,1,AS$4)-IF(AS$4=1,Assumptions!$H$54,INDEX(Assumptions!$C$54:$G$54,1,MAX(1,AS$4-1))))*(AS$5-(AS$6+1)/2)/AS$6)*AS28</f>
        <v>12.50625</v>
      </c>
      <c r="AT32" s="34">
        <f>(INDEX(Assumptions!$C$54:$G$54,1,AT$4)+(INDEX(Assumptions!$C$54:$G$54,1,AT$4)-IF(AT$4=1,Assumptions!$H$54,INDEX(Assumptions!$C$54:$G$54,1,MAX(1,AT$4-1))))*(AT$5-(AT$6+1)/2)/AT$6)*AT28</f>
        <v>12.79375</v>
      </c>
      <c r="AU32" s="34">
        <f>(INDEX(Assumptions!$C$54:$G$54,1,AU$4)+(INDEX(Assumptions!$C$54:$G$54,1,AU$4)-IF(AU$4=1,Assumptions!$H$54,INDEX(Assumptions!$C$54:$G$54,1,MAX(1,AU$4-1))))*(AU$5-(AU$6+1)/2)/AU$6)*AU28</f>
        <v>13.081249999999999</v>
      </c>
      <c r="AV32" s="34">
        <f>(INDEX(Assumptions!$C$54:$G$54,1,AV$4)+(INDEX(Assumptions!$C$54:$G$54,1,AV$4)-IF(AV$4=1,Assumptions!$H$54,INDEX(Assumptions!$C$54:$G$54,1,MAX(1,AV$4-1))))*(AV$5-(AV$6+1)/2)/AV$6)*AV28</f>
        <v>13.368749999999999</v>
      </c>
      <c r="AW32" s="34">
        <f>(INDEX(Assumptions!$C$54:$G$54,1,AW$4)+(INDEX(Assumptions!$C$54:$G$54,1,AW$4)-IF(AW$4=1,Assumptions!$H$54,INDEX(Assumptions!$C$54:$G$54,1,MAX(1,AW$4-1))))*(AW$5-(AW$6+1)/2)/AW$6)*AW28</f>
        <v>13.656249999999998</v>
      </c>
      <c r="AX32" s="34">
        <f>(INDEX(Assumptions!$C$54:$G$54,1,AX$4)+(INDEX(Assumptions!$C$54:$G$54,1,AX$4)-IF(AX$4=1,Assumptions!$H$54,INDEX(Assumptions!$C$54:$G$54,1,MAX(1,AX$4-1))))*(AX$5-(AX$6+1)/2)/AX$6)*AX28</f>
        <v>13.94375</v>
      </c>
      <c r="AY32" s="34">
        <f>(INDEX(Assumptions!$C$54:$G$54,1,AY$4)+(INDEX(Assumptions!$C$54:$G$54,1,AY$4)-IF(AY$4=1,Assumptions!$H$54,INDEX(Assumptions!$C$54:$G$54,1,MAX(1,AY$4-1))))*(AY$5-(AY$6+1)/2)/AY$6)*AY28</f>
        <v>14.23125</v>
      </c>
      <c r="AZ32" s="34">
        <f>(INDEX(Assumptions!$C$54:$G$54,1,AZ$4)+(INDEX(Assumptions!$C$54:$G$54,1,AZ$4)-IF(AZ$4=1,Assumptions!$H$54,INDEX(Assumptions!$C$54:$G$54,1,MAX(1,AZ$4-1))))*(AZ$5-(AZ$6+1)/2)/AZ$6)*AZ28</f>
        <v>14.518749999999999</v>
      </c>
      <c r="BA32" s="34">
        <f>(INDEX(Assumptions!$C$54:$G$54,1,BA$4)+(INDEX(Assumptions!$C$54:$G$54,1,BA$4)-IF(BA$4=1,Assumptions!$H$54,INDEX(Assumptions!$C$54:$G$54,1,MAX(1,BA$4-1))))*(BA$5-(BA$6+1)/2)/BA$6)*BA28</f>
        <v>14.806249999999999</v>
      </c>
      <c r="BB32" s="34">
        <f>(INDEX(Assumptions!$C$54:$G$54,1,BB$4)+(INDEX(Assumptions!$C$54:$G$54,1,BB$4)-IF(BB$4=1,Assumptions!$H$54,INDEX(Assumptions!$C$54:$G$54,1,MAX(1,BB$4-1))))*(BB$5-(BB$6+1)/2)/BB$6)*BB28</f>
        <v>15.093749999999998</v>
      </c>
      <c r="BC32" s="34">
        <f>(INDEX(Assumptions!$C$54:$G$54,1,BC$4)+(INDEX(Assumptions!$C$54:$G$54,1,BC$4)-IF(BC$4=1,Assumptions!$H$54,INDEX(Assumptions!$C$54:$G$54,1,MAX(1,BC$4-1))))*(BC$5-(BC$6+1)/2)/BC$6)*BC28</f>
        <v>15.38125</v>
      </c>
    </row>
    <row r="33">
      <c r="A33" s="4" t="inlineStr">
        <is>
          <t>Heads: State / DISCOM sales</t>
        </is>
      </c>
      <c r="B33" s="2" t="inlineStr">
        <is>
          <t>people (ramp)</t>
        </is>
      </c>
      <c r="C33" s="34">
        <f>(INDEX(Assumptions!$C$55:$G$55,1,C$4)+(INDEX(Assumptions!$C$55:$G$55,1,C$4)-IF(C$4=1,Assumptions!$H$55,INDEX(Assumptions!$C$55:$G$55,1,MAX(1,C$4-1))))*(C$5-(C$6+1)/2)/C$6)*C28</f>
        <v>0.0</v>
      </c>
      <c r="D33" s="34">
        <f>(INDEX(Assumptions!$C$55:$G$55,1,D$4)+(INDEX(Assumptions!$C$55:$G$55,1,D$4)-IF(D$4=1,Assumptions!$H$55,INDEX(Assumptions!$C$55:$G$55,1,MAX(1,D$4-1))))*(D$5-(D$6+1)/2)/D$6)*D28</f>
        <v>0.0</v>
      </c>
      <c r="E33" s="34">
        <f>(INDEX(Assumptions!$C$55:$G$55,1,E$4)+(INDEX(Assumptions!$C$55:$G$55,1,E$4)-IF(E$4=1,Assumptions!$H$55,INDEX(Assumptions!$C$55:$G$55,1,MAX(1,E$4-1))))*(E$5-(E$6+1)/2)/E$6)*E28</f>
        <v>0.0</v>
      </c>
      <c r="F33" s="34">
        <f>(INDEX(Assumptions!$C$55:$G$55,1,F$4)+(INDEX(Assumptions!$C$55:$G$55,1,F$4)-IF(F$4=1,Assumptions!$H$55,INDEX(Assumptions!$C$55:$G$55,1,MAX(1,F$4-1))))*(F$5-(F$6+1)/2)/F$6)*F28</f>
        <v>0.0</v>
      </c>
      <c r="G33" s="34">
        <f>(INDEX(Assumptions!$C$55:$G$55,1,G$4)+(INDEX(Assumptions!$C$55:$G$55,1,G$4)-IF(G$4=1,Assumptions!$H$55,INDEX(Assumptions!$C$55:$G$55,1,MAX(1,G$4-1))))*(G$5-(G$6+1)/2)/G$6)*G28</f>
        <v>0.0</v>
      </c>
      <c r="H33" s="34">
        <f>(INDEX(Assumptions!$C$55:$G$55,1,H$4)+(INDEX(Assumptions!$C$55:$G$55,1,H$4)-IF(H$4=1,Assumptions!$H$55,INDEX(Assumptions!$C$55:$G$55,1,MAX(1,H$4-1))))*(H$5-(H$6+1)/2)/H$6)*H28</f>
        <v>0.6229166666666667</v>
      </c>
      <c r="I33" s="34">
        <f>(INDEX(Assumptions!$C$55:$G$55,1,I$4)+(INDEX(Assumptions!$C$55:$G$55,1,I$4)-IF(I$4=1,Assumptions!$H$55,INDEX(Assumptions!$C$55:$G$55,1,MAX(1,I$4-1))))*(I$5-(I$6+1)/2)/I$6)*I28</f>
        <v>0.71875</v>
      </c>
      <c r="J33" s="34">
        <f>(INDEX(Assumptions!$C$55:$G$55,1,J$4)+(INDEX(Assumptions!$C$55:$G$55,1,J$4)-IF(J$4=1,Assumptions!$H$55,INDEX(Assumptions!$C$55:$G$55,1,MAX(1,J$4-1))))*(J$5-(J$6+1)/2)/J$6)*J28</f>
        <v>0.8145833333333332</v>
      </c>
      <c r="K33" s="34">
        <f>(INDEX(Assumptions!$C$55:$G$55,1,K$4)+(INDEX(Assumptions!$C$55:$G$55,1,K$4)-IF(K$4=1,Assumptions!$H$55,INDEX(Assumptions!$C$55:$G$55,1,MAX(1,K$4-1))))*(K$5-(K$6+1)/2)/K$6)*K28</f>
        <v>0.9104166666666665</v>
      </c>
      <c r="L33" s="34">
        <f>(INDEX(Assumptions!$C$55:$G$55,1,L$4)+(INDEX(Assumptions!$C$55:$G$55,1,L$4)-IF(L$4=1,Assumptions!$H$55,INDEX(Assumptions!$C$55:$G$55,1,MAX(1,L$4-1))))*(L$5-(L$6+1)/2)/L$6)*L28</f>
        <v>1.0062499999999999</v>
      </c>
      <c r="M33" s="34">
        <f>(INDEX(Assumptions!$C$55:$G$55,1,M$4)+(INDEX(Assumptions!$C$55:$G$55,1,M$4)-IF(M$4=1,Assumptions!$H$55,INDEX(Assumptions!$C$55:$G$55,1,MAX(1,M$4-1))))*(M$5-(M$6+1)/2)/M$6)*M28</f>
        <v>1.1020833333333333</v>
      </c>
      <c r="N33" s="34">
        <f>(INDEX(Assumptions!$C$55:$G$55,1,N$4)+(INDEX(Assumptions!$C$55:$G$55,1,N$4)-IF(N$4=1,Assumptions!$H$55,INDEX(Assumptions!$C$55:$G$55,1,MAX(1,N$4-1))))*(N$5-(N$6+1)/2)/N$6)*N28</f>
        <v>1.1979166666666667</v>
      </c>
      <c r="O33" s="34">
        <f>(INDEX(Assumptions!$C$55:$G$55,1,O$4)+(INDEX(Assumptions!$C$55:$G$55,1,O$4)-IF(O$4=1,Assumptions!$H$55,INDEX(Assumptions!$C$55:$G$55,1,MAX(1,O$4-1))))*(O$5-(O$6+1)/2)/O$6)*O28</f>
        <v>1.29375</v>
      </c>
      <c r="P33" s="34">
        <f>(INDEX(Assumptions!$C$55:$G$55,1,P$4)+(INDEX(Assumptions!$C$55:$G$55,1,P$4)-IF(P$4=1,Assumptions!$H$55,INDEX(Assumptions!$C$55:$G$55,1,MAX(1,P$4-1))))*(P$5-(P$6+1)/2)/P$6)*P28</f>
        <v>1.3895833333333332</v>
      </c>
      <c r="Q33" s="34">
        <f>(INDEX(Assumptions!$C$55:$G$55,1,Q$4)+(INDEX(Assumptions!$C$55:$G$55,1,Q$4)-IF(Q$4=1,Assumptions!$H$55,INDEX(Assumptions!$C$55:$G$55,1,MAX(1,Q$4-1))))*(Q$5-(Q$6+1)/2)/Q$6)*Q28</f>
        <v>1.4854166666666666</v>
      </c>
      <c r="R33" s="34">
        <f>(INDEX(Assumptions!$C$55:$G$55,1,R$4)+(INDEX(Assumptions!$C$55:$G$55,1,R$4)-IF(R$4=1,Assumptions!$H$55,INDEX(Assumptions!$C$55:$G$55,1,MAX(1,R$4-1))))*(R$5-(R$6+1)/2)/R$6)*R28</f>
        <v>1.5812499999999998</v>
      </c>
      <c r="S33" s="34">
        <f>(INDEX(Assumptions!$C$55:$G$55,1,S$4)+(INDEX(Assumptions!$C$55:$G$55,1,S$4)-IF(S$4=1,Assumptions!$H$55,INDEX(Assumptions!$C$55:$G$55,1,MAX(1,S$4-1))))*(S$5-(S$6+1)/2)/S$6)*S28</f>
        <v>1.677083333333333</v>
      </c>
      <c r="T33" s="34">
        <f>(INDEX(Assumptions!$C$55:$G$55,1,T$4)+(INDEX(Assumptions!$C$55:$G$55,1,T$4)-IF(T$4=1,Assumptions!$H$55,INDEX(Assumptions!$C$55:$G$55,1,MAX(1,T$4-1))))*(T$5-(T$6+1)/2)/T$6)*T28</f>
        <v>1.7729166666666667</v>
      </c>
      <c r="U33" s="34">
        <f>(INDEX(Assumptions!$C$55:$G$55,1,U$4)+(INDEX(Assumptions!$C$55:$G$55,1,U$4)-IF(U$4=1,Assumptions!$H$55,INDEX(Assumptions!$C$55:$G$55,1,MAX(1,U$4-1))))*(U$5-(U$6+1)/2)/U$6)*U28</f>
        <v>1.86875</v>
      </c>
      <c r="V33" s="34">
        <f>(INDEX(Assumptions!$C$55:$G$55,1,V$4)+(INDEX(Assumptions!$C$55:$G$55,1,V$4)-IF(V$4=1,Assumptions!$H$55,INDEX(Assumptions!$C$55:$G$55,1,MAX(1,V$4-1))))*(V$5-(V$6+1)/2)/V$6)*V28</f>
        <v>1.9645833333333331</v>
      </c>
      <c r="W33" s="34">
        <f>(INDEX(Assumptions!$C$55:$G$55,1,W$4)+(INDEX(Assumptions!$C$55:$G$55,1,W$4)-IF(W$4=1,Assumptions!$H$55,INDEX(Assumptions!$C$55:$G$55,1,MAX(1,W$4-1))))*(W$5-(W$6+1)/2)/W$6)*W28</f>
        <v>2.060416666666667</v>
      </c>
      <c r="X33" s="34">
        <f>(INDEX(Assumptions!$C$55:$G$55,1,X$4)+(INDEX(Assumptions!$C$55:$G$55,1,X$4)-IF(X$4=1,Assumptions!$H$55,INDEX(Assumptions!$C$55:$G$55,1,MAX(1,X$4-1))))*(X$5-(X$6+1)/2)/X$6)*X28</f>
        <v>2.15625</v>
      </c>
      <c r="Y33" s="34">
        <f>(INDEX(Assumptions!$C$55:$G$55,1,Y$4)+(INDEX(Assumptions!$C$55:$G$55,1,Y$4)-IF(Y$4=1,Assumptions!$H$55,INDEX(Assumptions!$C$55:$G$55,1,MAX(1,Y$4-1))))*(Y$5-(Y$6+1)/2)/Y$6)*Y28</f>
        <v>2.252083333333333</v>
      </c>
      <c r="Z33" s="34">
        <f>(INDEX(Assumptions!$C$55:$G$55,1,Z$4)+(INDEX(Assumptions!$C$55:$G$55,1,Z$4)-IF(Z$4=1,Assumptions!$H$55,INDEX(Assumptions!$C$55:$G$55,1,MAX(1,Z$4-1))))*(Z$5-(Z$6+1)/2)/Z$6)*Z28</f>
        <v>2.3479166666666664</v>
      </c>
      <c r="AA33" s="34">
        <f>(INDEX(Assumptions!$C$55:$G$55,1,AA$4)+(INDEX(Assumptions!$C$55:$G$55,1,AA$4)-IF(AA$4=1,Assumptions!$H$55,INDEX(Assumptions!$C$55:$G$55,1,MAX(1,AA$4-1))))*(AA$5-(AA$6+1)/2)/AA$6)*AA28</f>
        <v>2.4437499999999996</v>
      </c>
      <c r="AB33" s="34">
        <f>(INDEX(Assumptions!$C$55:$G$55,1,AB$4)+(INDEX(Assumptions!$C$55:$G$55,1,AB$4)-IF(AB$4=1,Assumptions!$H$55,INDEX(Assumptions!$C$55:$G$55,1,MAX(1,AB$4-1))))*(AB$5-(AB$6+1)/2)/AB$6)*AB28</f>
        <v>2.5395833333333333</v>
      </c>
      <c r="AC33" s="34">
        <f>(INDEX(Assumptions!$C$55:$G$55,1,AC$4)+(INDEX(Assumptions!$C$55:$G$55,1,AC$4)-IF(AC$4=1,Assumptions!$H$55,INDEX(Assumptions!$C$55:$G$55,1,MAX(1,AC$4-1))))*(AC$5-(AC$6+1)/2)/AC$6)*AC28</f>
        <v>2.635416666666666</v>
      </c>
      <c r="AD33" s="34">
        <f>(INDEX(Assumptions!$C$55:$G$55,1,AD$4)+(INDEX(Assumptions!$C$55:$G$55,1,AD$4)-IF(AD$4=1,Assumptions!$H$55,INDEX(Assumptions!$C$55:$G$55,1,MAX(1,AD$4-1))))*(AD$5-(AD$6+1)/2)/AD$6)*AD28</f>
        <v>2.7312499999999997</v>
      </c>
      <c r="AE33" s="34">
        <f>(INDEX(Assumptions!$C$55:$G$55,1,AE$4)+(INDEX(Assumptions!$C$55:$G$55,1,AE$4)-IF(AE$4=1,Assumptions!$H$55,INDEX(Assumptions!$C$55:$G$55,1,MAX(1,AE$4-1))))*(AE$5-(AE$6+1)/2)/AE$6)*AE28</f>
        <v>2.8270833333333334</v>
      </c>
      <c r="AF33" s="34">
        <f>(INDEX(Assumptions!$C$55:$G$55,1,AF$4)+(INDEX(Assumptions!$C$55:$G$55,1,AF$4)-IF(AF$4=1,Assumptions!$H$55,INDEX(Assumptions!$C$55:$G$55,1,MAX(1,AF$4-1))))*(AF$5-(AF$6+1)/2)/AF$6)*AF28</f>
        <v>2.922916666666666</v>
      </c>
      <c r="AG33" s="34">
        <f>(INDEX(Assumptions!$C$55:$G$55,1,AG$4)+(INDEX(Assumptions!$C$55:$G$55,1,AG$4)-IF(AG$4=1,Assumptions!$H$55,INDEX(Assumptions!$C$55:$G$55,1,MAX(1,AG$4-1))))*(AG$5-(AG$6+1)/2)/AG$6)*AG28</f>
        <v>3.01875</v>
      </c>
      <c r="AH33" s="34">
        <f>(INDEX(Assumptions!$C$55:$G$55,1,AH$4)+(INDEX(Assumptions!$C$55:$G$55,1,AH$4)-IF(AH$4=1,Assumptions!$H$55,INDEX(Assumptions!$C$55:$G$55,1,MAX(1,AH$4-1))))*(AH$5-(AH$6+1)/2)/AH$6)*AH28</f>
        <v>3.1145833333333335</v>
      </c>
      <c r="AI33" s="34">
        <f>(INDEX(Assumptions!$C$55:$G$55,1,AI$4)+(INDEX(Assumptions!$C$55:$G$55,1,AI$4)-IF(AI$4=1,Assumptions!$H$55,INDEX(Assumptions!$C$55:$G$55,1,MAX(1,AI$4-1))))*(AI$5-(AI$6+1)/2)/AI$6)*AI28</f>
        <v>3.2104166666666663</v>
      </c>
      <c r="AJ33" s="34">
        <f>(INDEX(Assumptions!$C$55:$G$55,1,AJ$4)+(INDEX(Assumptions!$C$55:$G$55,1,AJ$4)-IF(AJ$4=1,Assumptions!$H$55,INDEX(Assumptions!$C$55:$G$55,1,MAX(1,AJ$4-1))))*(AJ$5-(AJ$6+1)/2)/AJ$6)*AJ28</f>
        <v>3.30625</v>
      </c>
      <c r="AK33" s="34">
        <f>(INDEX(Assumptions!$C$55:$G$55,1,AK$4)+(INDEX(Assumptions!$C$55:$G$55,1,AK$4)-IF(AK$4=1,Assumptions!$H$55,INDEX(Assumptions!$C$55:$G$55,1,MAX(1,AK$4-1))))*(AK$5-(AK$6+1)/2)/AK$6)*AK28</f>
        <v>3.402083333333333</v>
      </c>
      <c r="AL33" s="34">
        <f>(INDEX(Assumptions!$C$55:$G$55,1,AL$4)+(INDEX(Assumptions!$C$55:$G$55,1,AL$4)-IF(AL$4=1,Assumptions!$H$55,INDEX(Assumptions!$C$55:$G$55,1,MAX(1,AL$4-1))))*(AL$5-(AL$6+1)/2)/AL$6)*AL28</f>
        <v>3.4979166666666663</v>
      </c>
      <c r="AM33" s="34">
        <f>(INDEX(Assumptions!$C$55:$G$55,1,AM$4)+(INDEX(Assumptions!$C$55:$G$55,1,AM$4)-IF(AM$4=1,Assumptions!$H$55,INDEX(Assumptions!$C$55:$G$55,1,MAX(1,AM$4-1))))*(AM$5-(AM$6+1)/2)/AM$6)*AM28</f>
        <v>3.5937499999999996</v>
      </c>
      <c r="AN33" s="34">
        <f>(INDEX(Assumptions!$C$55:$G$55,1,AN$4)+(INDEX(Assumptions!$C$55:$G$55,1,AN$4)-IF(AN$4=1,Assumptions!$H$55,INDEX(Assumptions!$C$55:$G$55,1,MAX(1,AN$4-1))))*(AN$5-(AN$6+1)/2)/AN$6)*AN28</f>
        <v>3.689583333333333</v>
      </c>
      <c r="AO33" s="34">
        <f>(INDEX(Assumptions!$C$55:$G$55,1,AO$4)+(INDEX(Assumptions!$C$55:$G$55,1,AO$4)-IF(AO$4=1,Assumptions!$H$55,INDEX(Assumptions!$C$55:$G$55,1,MAX(1,AO$4-1))))*(AO$5-(AO$6+1)/2)/AO$6)*AO28</f>
        <v>3.785416666666666</v>
      </c>
      <c r="AP33" s="34">
        <f>(INDEX(Assumptions!$C$55:$G$55,1,AP$4)+(INDEX(Assumptions!$C$55:$G$55,1,AP$4)-IF(AP$4=1,Assumptions!$H$55,INDEX(Assumptions!$C$55:$G$55,1,MAX(1,AP$4-1))))*(AP$5-(AP$6+1)/2)/AP$6)*AP28</f>
        <v>3.8812499999999996</v>
      </c>
      <c r="AQ33" s="34">
        <f>(INDEX(Assumptions!$C$55:$G$55,1,AQ$4)+(INDEX(Assumptions!$C$55:$G$55,1,AQ$4)-IF(AQ$4=1,Assumptions!$H$55,INDEX(Assumptions!$C$55:$G$55,1,MAX(1,AQ$4-1))))*(AQ$5-(AQ$6+1)/2)/AQ$6)*AQ28</f>
        <v>3.9770833333333333</v>
      </c>
      <c r="AR33" s="34">
        <f>(INDEX(Assumptions!$C$55:$G$55,1,AR$4)+(INDEX(Assumptions!$C$55:$G$55,1,AR$4)-IF(AR$4=1,Assumptions!$H$55,INDEX(Assumptions!$C$55:$G$55,1,MAX(1,AR$4-1))))*(AR$5-(AR$6+1)/2)/AR$6)*AR28</f>
        <v>4.072916666666666</v>
      </c>
      <c r="AS33" s="34">
        <f>(INDEX(Assumptions!$C$55:$G$55,1,AS$4)+(INDEX(Assumptions!$C$55:$G$55,1,AS$4)-IF(AS$4=1,Assumptions!$H$55,INDEX(Assumptions!$C$55:$G$55,1,MAX(1,AS$4-1))))*(AS$5-(AS$6+1)/2)/AS$6)*AS28</f>
        <v>4.168749999999999</v>
      </c>
      <c r="AT33" s="34">
        <f>(INDEX(Assumptions!$C$55:$G$55,1,AT$4)+(INDEX(Assumptions!$C$55:$G$55,1,AT$4)-IF(AT$4=1,Assumptions!$H$55,INDEX(Assumptions!$C$55:$G$55,1,MAX(1,AT$4-1))))*(AT$5-(AT$6+1)/2)/AT$6)*AT28</f>
        <v>4.264583333333333</v>
      </c>
      <c r="AU33" s="34">
        <f>(INDEX(Assumptions!$C$55:$G$55,1,AU$4)+(INDEX(Assumptions!$C$55:$G$55,1,AU$4)-IF(AU$4=1,Assumptions!$H$55,INDEX(Assumptions!$C$55:$G$55,1,MAX(1,AU$4-1))))*(AU$5-(AU$6+1)/2)/AU$6)*AU28</f>
        <v>4.360416666666666</v>
      </c>
      <c r="AV33" s="34">
        <f>(INDEX(Assumptions!$C$55:$G$55,1,AV$4)+(INDEX(Assumptions!$C$55:$G$55,1,AV$4)-IF(AV$4=1,Assumptions!$H$55,INDEX(Assumptions!$C$55:$G$55,1,MAX(1,AV$4-1))))*(AV$5-(AV$6+1)/2)/AV$6)*AV28</f>
        <v>4.45625</v>
      </c>
      <c r="AW33" s="34">
        <f>(INDEX(Assumptions!$C$55:$G$55,1,AW$4)+(INDEX(Assumptions!$C$55:$G$55,1,AW$4)-IF(AW$4=1,Assumptions!$H$55,INDEX(Assumptions!$C$55:$G$55,1,MAX(1,AW$4-1))))*(AW$5-(AW$6+1)/2)/AW$6)*AW28</f>
        <v>4.552083333333333</v>
      </c>
      <c r="AX33" s="34">
        <f>(INDEX(Assumptions!$C$55:$G$55,1,AX$4)+(INDEX(Assumptions!$C$55:$G$55,1,AX$4)-IF(AX$4=1,Assumptions!$H$55,INDEX(Assumptions!$C$55:$G$55,1,MAX(1,AX$4-1))))*(AX$5-(AX$6+1)/2)/AX$6)*AX28</f>
        <v>4.647916666666666</v>
      </c>
      <c r="AY33" s="34">
        <f>(INDEX(Assumptions!$C$55:$G$55,1,AY$4)+(INDEX(Assumptions!$C$55:$G$55,1,AY$4)-IF(AY$4=1,Assumptions!$H$55,INDEX(Assumptions!$C$55:$G$55,1,MAX(1,AY$4-1))))*(AY$5-(AY$6+1)/2)/AY$6)*AY28</f>
        <v>4.7437499999999995</v>
      </c>
      <c r="AZ33" s="34">
        <f>(INDEX(Assumptions!$C$55:$G$55,1,AZ$4)+(INDEX(Assumptions!$C$55:$G$55,1,AZ$4)-IF(AZ$4=1,Assumptions!$H$55,INDEX(Assumptions!$C$55:$G$55,1,MAX(1,AZ$4-1))))*(AZ$5-(AZ$6+1)/2)/AZ$6)*AZ28</f>
        <v>4.839583333333333</v>
      </c>
      <c r="BA33" s="34">
        <f>(INDEX(Assumptions!$C$55:$G$55,1,BA$4)+(INDEX(Assumptions!$C$55:$G$55,1,BA$4)-IF(BA$4=1,Assumptions!$H$55,INDEX(Assumptions!$C$55:$G$55,1,MAX(1,BA$4-1))))*(BA$5-(BA$6+1)/2)/BA$6)*BA28</f>
        <v>4.935416666666667</v>
      </c>
      <c r="BB33" s="34">
        <f>(INDEX(Assumptions!$C$55:$G$55,1,BB$4)+(INDEX(Assumptions!$C$55:$G$55,1,BB$4)-IF(BB$4=1,Assumptions!$H$55,INDEX(Assumptions!$C$55:$G$55,1,MAX(1,BB$4-1))))*(BB$5-(BB$6+1)/2)/BB$6)*BB28</f>
        <v>5.03125</v>
      </c>
      <c r="BC33" s="34">
        <f>(INDEX(Assumptions!$C$55:$G$55,1,BC$4)+(INDEX(Assumptions!$C$55:$G$55,1,BC$4)-IF(BC$4=1,Assumptions!$H$55,INDEX(Assumptions!$C$55:$G$55,1,MAX(1,BC$4-1))))*(BC$5-(BC$6+1)/2)/BC$6)*BC28</f>
        <v>5.127083333333332</v>
      </c>
    </row>
    <row r="34">
      <c r="A34" s="4" t="inlineStr">
        <is>
          <t>Heads: G&amp;A (founder-CEO, finance, HR, legal)</t>
        </is>
      </c>
      <c r="B34" s="2" t="inlineStr">
        <is>
          <t>people (ramp)</t>
        </is>
      </c>
      <c r="C34" s="34">
        <f>(INDEX(Assumptions!$C$56:$G$56,1,C$4)+(INDEX(Assumptions!$C$56:$G$56,1,C$4)-IF(C$4=1,Assumptions!$H$56,INDEX(Assumptions!$C$56:$G$56,1,MAX(1,C$4-1))))*(C$5-(C$6+1)/2)/C$6)*C28</f>
        <v>1.0</v>
      </c>
      <c r="D34" s="34">
        <f>(INDEX(Assumptions!$C$56:$G$56,1,D$4)+(INDEX(Assumptions!$C$56:$G$56,1,D$4)-IF(D$4=1,Assumptions!$H$56,INDEX(Assumptions!$C$56:$G$56,1,MAX(1,D$4-1))))*(D$5-(D$6+1)/2)/D$6)*D28</f>
        <v>1.0</v>
      </c>
      <c r="E34" s="34">
        <f>(INDEX(Assumptions!$C$56:$G$56,1,E$4)+(INDEX(Assumptions!$C$56:$G$56,1,E$4)-IF(E$4=1,Assumptions!$H$56,INDEX(Assumptions!$C$56:$G$56,1,MAX(1,E$4-1))))*(E$5-(E$6+1)/2)/E$6)*E28</f>
        <v>1.0</v>
      </c>
      <c r="F34" s="34">
        <f>(INDEX(Assumptions!$C$56:$G$56,1,F$4)+(INDEX(Assumptions!$C$56:$G$56,1,F$4)-IF(F$4=1,Assumptions!$H$56,INDEX(Assumptions!$C$56:$G$56,1,MAX(1,F$4-1))))*(F$5-(F$6+1)/2)/F$6)*F28</f>
        <v>1.0</v>
      </c>
      <c r="G34" s="34">
        <f>(INDEX(Assumptions!$C$56:$G$56,1,G$4)+(INDEX(Assumptions!$C$56:$G$56,1,G$4)-IF(G$4=1,Assumptions!$H$56,INDEX(Assumptions!$C$56:$G$56,1,MAX(1,G$4-1))))*(G$5-(G$6+1)/2)/G$6)*G28</f>
        <v>1.0</v>
      </c>
      <c r="H34" s="34">
        <f>(INDEX(Assumptions!$C$56:$G$56,1,H$4)+(INDEX(Assumptions!$C$56:$G$56,1,H$4)-IF(H$4=1,Assumptions!$H$56,INDEX(Assumptions!$C$56:$G$56,1,MAX(1,H$4-1))))*(H$5-(H$6+1)/2)/H$6)*H28</f>
        <v>1.7729166666666667</v>
      </c>
      <c r="I34" s="34">
        <f>(INDEX(Assumptions!$C$56:$G$56,1,I$4)+(INDEX(Assumptions!$C$56:$G$56,1,I$4)-IF(I$4=1,Assumptions!$H$56,INDEX(Assumptions!$C$56:$G$56,1,MAX(1,I$4-1))))*(I$5-(I$6+1)/2)/I$6)*I28</f>
        <v>1.86875</v>
      </c>
      <c r="J34" s="34">
        <f>(INDEX(Assumptions!$C$56:$G$56,1,J$4)+(INDEX(Assumptions!$C$56:$G$56,1,J$4)-IF(J$4=1,Assumptions!$H$56,INDEX(Assumptions!$C$56:$G$56,1,MAX(1,J$4-1))))*(J$5-(J$6+1)/2)/J$6)*J28</f>
        <v>1.9645833333333331</v>
      </c>
      <c r="K34" s="34">
        <f>(INDEX(Assumptions!$C$56:$G$56,1,K$4)+(INDEX(Assumptions!$C$56:$G$56,1,K$4)-IF(K$4=1,Assumptions!$H$56,INDEX(Assumptions!$C$56:$G$56,1,MAX(1,K$4-1))))*(K$5-(K$6+1)/2)/K$6)*K28</f>
        <v>2.060416666666667</v>
      </c>
      <c r="L34" s="34">
        <f>(INDEX(Assumptions!$C$56:$G$56,1,L$4)+(INDEX(Assumptions!$C$56:$G$56,1,L$4)-IF(L$4=1,Assumptions!$H$56,INDEX(Assumptions!$C$56:$G$56,1,MAX(1,L$4-1))))*(L$5-(L$6+1)/2)/L$6)*L28</f>
        <v>2.15625</v>
      </c>
      <c r="M34" s="34">
        <f>(INDEX(Assumptions!$C$56:$G$56,1,M$4)+(INDEX(Assumptions!$C$56:$G$56,1,M$4)-IF(M$4=1,Assumptions!$H$56,INDEX(Assumptions!$C$56:$G$56,1,MAX(1,M$4-1))))*(M$5-(M$6+1)/2)/M$6)*M28</f>
        <v>2.252083333333333</v>
      </c>
      <c r="N34" s="34">
        <f>(INDEX(Assumptions!$C$56:$G$56,1,N$4)+(INDEX(Assumptions!$C$56:$G$56,1,N$4)-IF(N$4=1,Assumptions!$H$56,INDEX(Assumptions!$C$56:$G$56,1,MAX(1,N$4-1))))*(N$5-(N$6+1)/2)/N$6)*N28</f>
        <v>2.3479166666666664</v>
      </c>
      <c r="O34" s="34">
        <f>(INDEX(Assumptions!$C$56:$G$56,1,O$4)+(INDEX(Assumptions!$C$56:$G$56,1,O$4)-IF(O$4=1,Assumptions!$H$56,INDEX(Assumptions!$C$56:$G$56,1,MAX(1,O$4-1))))*(O$5-(O$6+1)/2)/O$6)*O28</f>
        <v>2.4437499999999996</v>
      </c>
      <c r="P34" s="34">
        <f>(INDEX(Assumptions!$C$56:$G$56,1,P$4)+(INDEX(Assumptions!$C$56:$G$56,1,P$4)-IF(P$4=1,Assumptions!$H$56,INDEX(Assumptions!$C$56:$G$56,1,MAX(1,P$4-1))))*(P$5-(P$6+1)/2)/P$6)*P28</f>
        <v>2.5395833333333333</v>
      </c>
      <c r="Q34" s="34">
        <f>(INDEX(Assumptions!$C$56:$G$56,1,Q$4)+(INDEX(Assumptions!$C$56:$G$56,1,Q$4)-IF(Q$4=1,Assumptions!$H$56,INDEX(Assumptions!$C$56:$G$56,1,MAX(1,Q$4-1))))*(Q$5-(Q$6+1)/2)/Q$6)*Q28</f>
        <v>2.635416666666666</v>
      </c>
      <c r="R34" s="34">
        <f>(INDEX(Assumptions!$C$56:$G$56,1,R$4)+(INDEX(Assumptions!$C$56:$G$56,1,R$4)-IF(R$4=1,Assumptions!$H$56,INDEX(Assumptions!$C$56:$G$56,1,MAX(1,R$4-1))))*(R$5-(R$6+1)/2)/R$6)*R28</f>
        <v>2.7312499999999997</v>
      </c>
      <c r="S34" s="34">
        <f>(INDEX(Assumptions!$C$56:$G$56,1,S$4)+(INDEX(Assumptions!$C$56:$G$56,1,S$4)-IF(S$4=1,Assumptions!$H$56,INDEX(Assumptions!$C$56:$G$56,1,MAX(1,S$4-1))))*(S$5-(S$6+1)/2)/S$6)*S28</f>
        <v>2.8270833333333334</v>
      </c>
      <c r="T34" s="34">
        <f>(INDEX(Assumptions!$C$56:$G$56,1,T$4)+(INDEX(Assumptions!$C$56:$G$56,1,T$4)-IF(T$4=1,Assumptions!$H$56,INDEX(Assumptions!$C$56:$G$56,1,MAX(1,T$4-1))))*(T$5-(T$6+1)/2)/T$6)*T28</f>
        <v>3.5458333333333334</v>
      </c>
      <c r="U34" s="34">
        <f>(INDEX(Assumptions!$C$56:$G$56,1,U$4)+(INDEX(Assumptions!$C$56:$G$56,1,U$4)-IF(U$4=1,Assumptions!$H$56,INDEX(Assumptions!$C$56:$G$56,1,MAX(1,U$4-1))))*(U$5-(U$6+1)/2)/U$6)*U28</f>
        <v>3.7375</v>
      </c>
      <c r="V34" s="34">
        <f>(INDEX(Assumptions!$C$56:$G$56,1,V$4)+(INDEX(Assumptions!$C$56:$G$56,1,V$4)-IF(V$4=1,Assumptions!$H$56,INDEX(Assumptions!$C$56:$G$56,1,MAX(1,V$4-1))))*(V$5-(V$6+1)/2)/V$6)*V28</f>
        <v>3.9291666666666663</v>
      </c>
      <c r="W34" s="34">
        <f>(INDEX(Assumptions!$C$56:$G$56,1,W$4)+(INDEX(Assumptions!$C$56:$G$56,1,W$4)-IF(W$4=1,Assumptions!$H$56,INDEX(Assumptions!$C$56:$G$56,1,MAX(1,W$4-1))))*(W$5-(W$6+1)/2)/W$6)*W28</f>
        <v>4.120833333333334</v>
      </c>
      <c r="X34" s="34">
        <f>(INDEX(Assumptions!$C$56:$G$56,1,X$4)+(INDEX(Assumptions!$C$56:$G$56,1,X$4)-IF(X$4=1,Assumptions!$H$56,INDEX(Assumptions!$C$56:$G$56,1,MAX(1,X$4-1))))*(X$5-(X$6+1)/2)/X$6)*X28</f>
        <v>4.3125</v>
      </c>
      <c r="Y34" s="34">
        <f>(INDEX(Assumptions!$C$56:$G$56,1,Y$4)+(INDEX(Assumptions!$C$56:$G$56,1,Y$4)-IF(Y$4=1,Assumptions!$H$56,INDEX(Assumptions!$C$56:$G$56,1,MAX(1,Y$4-1))))*(Y$5-(Y$6+1)/2)/Y$6)*Y28</f>
        <v>4.504166666666666</v>
      </c>
      <c r="Z34" s="34">
        <f>(INDEX(Assumptions!$C$56:$G$56,1,Z$4)+(INDEX(Assumptions!$C$56:$G$56,1,Z$4)-IF(Z$4=1,Assumptions!$H$56,INDEX(Assumptions!$C$56:$G$56,1,MAX(1,Z$4-1))))*(Z$5-(Z$6+1)/2)/Z$6)*Z28</f>
        <v>4.695833333333333</v>
      </c>
      <c r="AA34" s="34">
        <f>(INDEX(Assumptions!$C$56:$G$56,1,AA$4)+(INDEX(Assumptions!$C$56:$G$56,1,AA$4)-IF(AA$4=1,Assumptions!$H$56,INDEX(Assumptions!$C$56:$G$56,1,MAX(1,AA$4-1))))*(AA$5-(AA$6+1)/2)/AA$6)*AA28</f>
        <v>4.887499999999999</v>
      </c>
      <c r="AB34" s="34">
        <f>(INDEX(Assumptions!$C$56:$G$56,1,AB$4)+(INDEX(Assumptions!$C$56:$G$56,1,AB$4)-IF(AB$4=1,Assumptions!$H$56,INDEX(Assumptions!$C$56:$G$56,1,MAX(1,AB$4-1))))*(AB$5-(AB$6+1)/2)/AB$6)*AB28</f>
        <v>5.079166666666667</v>
      </c>
      <c r="AC34" s="34">
        <f>(INDEX(Assumptions!$C$56:$G$56,1,AC$4)+(INDEX(Assumptions!$C$56:$G$56,1,AC$4)-IF(AC$4=1,Assumptions!$H$56,INDEX(Assumptions!$C$56:$G$56,1,MAX(1,AC$4-1))))*(AC$5-(AC$6+1)/2)/AC$6)*AC28</f>
        <v>5.270833333333332</v>
      </c>
      <c r="AD34" s="34">
        <f>(INDEX(Assumptions!$C$56:$G$56,1,AD$4)+(INDEX(Assumptions!$C$56:$G$56,1,AD$4)-IF(AD$4=1,Assumptions!$H$56,INDEX(Assumptions!$C$56:$G$56,1,MAX(1,AD$4-1))))*(AD$5-(AD$6+1)/2)/AD$6)*AD28</f>
        <v>5.4624999999999995</v>
      </c>
      <c r="AE34" s="34">
        <f>(INDEX(Assumptions!$C$56:$G$56,1,AE$4)+(INDEX(Assumptions!$C$56:$G$56,1,AE$4)-IF(AE$4=1,Assumptions!$H$56,INDEX(Assumptions!$C$56:$G$56,1,MAX(1,AE$4-1))))*(AE$5-(AE$6+1)/2)/AE$6)*AE28</f>
        <v>5.654166666666667</v>
      </c>
      <c r="AF34" s="34">
        <f>(INDEX(Assumptions!$C$56:$G$56,1,AF$4)+(INDEX(Assumptions!$C$56:$G$56,1,AF$4)-IF(AF$4=1,Assumptions!$H$56,INDEX(Assumptions!$C$56:$G$56,1,MAX(1,AF$4-1))))*(AF$5-(AF$6+1)/2)/AF$6)*AF28</f>
        <v>5.845833333333332</v>
      </c>
      <c r="AG34" s="34">
        <f>(INDEX(Assumptions!$C$56:$G$56,1,AG$4)+(INDEX(Assumptions!$C$56:$G$56,1,AG$4)-IF(AG$4=1,Assumptions!$H$56,INDEX(Assumptions!$C$56:$G$56,1,MAX(1,AG$4-1))))*(AG$5-(AG$6+1)/2)/AG$6)*AG28</f>
        <v>6.0375</v>
      </c>
      <c r="AH34" s="34">
        <f>(INDEX(Assumptions!$C$56:$G$56,1,AH$4)+(INDEX(Assumptions!$C$56:$G$56,1,AH$4)-IF(AH$4=1,Assumptions!$H$56,INDEX(Assumptions!$C$56:$G$56,1,MAX(1,AH$4-1))))*(AH$5-(AH$6+1)/2)/AH$6)*AH28</f>
        <v>6.229166666666667</v>
      </c>
      <c r="AI34" s="34">
        <f>(INDEX(Assumptions!$C$56:$G$56,1,AI$4)+(INDEX(Assumptions!$C$56:$G$56,1,AI$4)-IF(AI$4=1,Assumptions!$H$56,INDEX(Assumptions!$C$56:$G$56,1,MAX(1,AI$4-1))))*(AI$5-(AI$6+1)/2)/AI$6)*AI28</f>
        <v>6.4208333333333325</v>
      </c>
      <c r="AJ34" s="34">
        <f>(INDEX(Assumptions!$C$56:$G$56,1,AJ$4)+(INDEX(Assumptions!$C$56:$G$56,1,AJ$4)-IF(AJ$4=1,Assumptions!$H$56,INDEX(Assumptions!$C$56:$G$56,1,MAX(1,AJ$4-1))))*(AJ$5-(AJ$6+1)/2)/AJ$6)*AJ28</f>
        <v>6.6125</v>
      </c>
      <c r="AK34" s="34">
        <f>(INDEX(Assumptions!$C$56:$G$56,1,AK$4)+(INDEX(Assumptions!$C$56:$G$56,1,AK$4)-IF(AK$4=1,Assumptions!$H$56,INDEX(Assumptions!$C$56:$G$56,1,MAX(1,AK$4-1))))*(AK$5-(AK$6+1)/2)/AK$6)*AK28</f>
        <v>6.804166666666666</v>
      </c>
      <c r="AL34" s="34">
        <f>(INDEX(Assumptions!$C$56:$G$56,1,AL$4)+(INDEX(Assumptions!$C$56:$G$56,1,AL$4)-IF(AL$4=1,Assumptions!$H$56,INDEX(Assumptions!$C$56:$G$56,1,MAX(1,AL$4-1))))*(AL$5-(AL$6+1)/2)/AL$6)*AL28</f>
        <v>6.995833333333333</v>
      </c>
      <c r="AM34" s="34">
        <f>(INDEX(Assumptions!$C$56:$G$56,1,AM$4)+(INDEX(Assumptions!$C$56:$G$56,1,AM$4)-IF(AM$4=1,Assumptions!$H$56,INDEX(Assumptions!$C$56:$G$56,1,MAX(1,AM$4-1))))*(AM$5-(AM$6+1)/2)/AM$6)*AM28</f>
        <v>7.187499999999999</v>
      </c>
      <c r="AN34" s="34">
        <f>(INDEX(Assumptions!$C$56:$G$56,1,AN$4)+(INDEX(Assumptions!$C$56:$G$56,1,AN$4)-IF(AN$4=1,Assumptions!$H$56,INDEX(Assumptions!$C$56:$G$56,1,MAX(1,AN$4-1))))*(AN$5-(AN$6+1)/2)/AN$6)*AN28</f>
        <v>7.379166666666666</v>
      </c>
      <c r="AO34" s="34">
        <f>(INDEX(Assumptions!$C$56:$G$56,1,AO$4)+(INDEX(Assumptions!$C$56:$G$56,1,AO$4)-IF(AO$4=1,Assumptions!$H$56,INDEX(Assumptions!$C$56:$G$56,1,MAX(1,AO$4-1))))*(AO$5-(AO$6+1)/2)/AO$6)*AO28</f>
        <v>7.570833333333332</v>
      </c>
      <c r="AP34" s="34">
        <f>(INDEX(Assumptions!$C$56:$G$56,1,AP$4)+(INDEX(Assumptions!$C$56:$G$56,1,AP$4)-IF(AP$4=1,Assumptions!$H$56,INDEX(Assumptions!$C$56:$G$56,1,MAX(1,AP$4-1))))*(AP$5-(AP$6+1)/2)/AP$6)*AP28</f>
        <v>7.762499999999999</v>
      </c>
      <c r="AQ34" s="34">
        <f>(INDEX(Assumptions!$C$56:$G$56,1,AQ$4)+(INDEX(Assumptions!$C$56:$G$56,1,AQ$4)-IF(AQ$4=1,Assumptions!$H$56,INDEX(Assumptions!$C$56:$G$56,1,MAX(1,AQ$4-1))))*(AQ$5-(AQ$6+1)/2)/AQ$6)*AQ28</f>
        <v>7.954166666666667</v>
      </c>
      <c r="AR34" s="34">
        <f>(INDEX(Assumptions!$C$56:$G$56,1,AR$4)+(INDEX(Assumptions!$C$56:$G$56,1,AR$4)-IF(AR$4=1,Assumptions!$H$56,INDEX(Assumptions!$C$56:$G$56,1,MAX(1,AR$4-1))))*(AR$5-(AR$6+1)/2)/AR$6)*AR28</f>
        <v>8.145833333333332</v>
      </c>
      <c r="AS34" s="34">
        <f>(INDEX(Assumptions!$C$56:$G$56,1,AS$4)+(INDEX(Assumptions!$C$56:$G$56,1,AS$4)-IF(AS$4=1,Assumptions!$H$56,INDEX(Assumptions!$C$56:$G$56,1,MAX(1,AS$4-1))))*(AS$5-(AS$6+1)/2)/AS$6)*AS28</f>
        <v>8.337499999999999</v>
      </c>
      <c r="AT34" s="34">
        <f>(INDEX(Assumptions!$C$56:$G$56,1,AT$4)+(INDEX(Assumptions!$C$56:$G$56,1,AT$4)-IF(AT$4=1,Assumptions!$H$56,INDEX(Assumptions!$C$56:$G$56,1,MAX(1,AT$4-1))))*(AT$5-(AT$6+1)/2)/AT$6)*AT28</f>
        <v>8.529166666666667</v>
      </c>
      <c r="AU34" s="34">
        <f>(INDEX(Assumptions!$C$56:$G$56,1,AU$4)+(INDEX(Assumptions!$C$56:$G$56,1,AU$4)-IF(AU$4=1,Assumptions!$H$56,INDEX(Assumptions!$C$56:$G$56,1,MAX(1,AU$4-1))))*(AU$5-(AU$6+1)/2)/AU$6)*AU28</f>
        <v>8.720833333333331</v>
      </c>
      <c r="AV34" s="34">
        <f>(INDEX(Assumptions!$C$56:$G$56,1,AV$4)+(INDEX(Assumptions!$C$56:$G$56,1,AV$4)-IF(AV$4=1,Assumptions!$H$56,INDEX(Assumptions!$C$56:$G$56,1,MAX(1,AV$4-1))))*(AV$5-(AV$6+1)/2)/AV$6)*AV28</f>
        <v>8.9125</v>
      </c>
      <c r="AW34" s="34">
        <f>(INDEX(Assumptions!$C$56:$G$56,1,AW$4)+(INDEX(Assumptions!$C$56:$G$56,1,AW$4)-IF(AW$4=1,Assumptions!$H$56,INDEX(Assumptions!$C$56:$G$56,1,MAX(1,AW$4-1))))*(AW$5-(AW$6+1)/2)/AW$6)*AW28</f>
        <v>9.104166666666666</v>
      </c>
      <c r="AX34" s="34">
        <f>(INDEX(Assumptions!$C$56:$G$56,1,AX$4)+(INDEX(Assumptions!$C$56:$G$56,1,AX$4)-IF(AX$4=1,Assumptions!$H$56,INDEX(Assumptions!$C$56:$G$56,1,MAX(1,AX$4-1))))*(AX$5-(AX$6+1)/2)/AX$6)*AX28</f>
        <v>9.295833333333333</v>
      </c>
      <c r="AY34" s="34">
        <f>(INDEX(Assumptions!$C$56:$G$56,1,AY$4)+(INDEX(Assumptions!$C$56:$G$56,1,AY$4)-IF(AY$4=1,Assumptions!$H$56,INDEX(Assumptions!$C$56:$G$56,1,MAX(1,AY$4-1))))*(AY$5-(AY$6+1)/2)/AY$6)*AY28</f>
        <v>9.487499999999999</v>
      </c>
      <c r="AZ34" s="34">
        <f>(INDEX(Assumptions!$C$56:$G$56,1,AZ$4)+(INDEX(Assumptions!$C$56:$G$56,1,AZ$4)-IF(AZ$4=1,Assumptions!$H$56,INDEX(Assumptions!$C$56:$G$56,1,MAX(1,AZ$4-1))))*(AZ$5-(AZ$6+1)/2)/AZ$6)*AZ28</f>
        <v>9.679166666666665</v>
      </c>
      <c r="BA34" s="34">
        <f>(INDEX(Assumptions!$C$56:$G$56,1,BA$4)+(INDEX(Assumptions!$C$56:$G$56,1,BA$4)-IF(BA$4=1,Assumptions!$H$56,INDEX(Assumptions!$C$56:$G$56,1,MAX(1,BA$4-1))))*(BA$5-(BA$6+1)/2)/BA$6)*BA28</f>
        <v>9.870833333333334</v>
      </c>
      <c r="BB34" s="34">
        <f>(INDEX(Assumptions!$C$56:$G$56,1,BB$4)+(INDEX(Assumptions!$C$56:$G$56,1,BB$4)-IF(BB$4=1,Assumptions!$H$56,INDEX(Assumptions!$C$56:$G$56,1,MAX(1,BB$4-1))))*(BB$5-(BB$6+1)/2)/BB$6)*BB28</f>
        <v>10.0625</v>
      </c>
      <c r="BC34" s="34">
        <f>(INDEX(Assumptions!$C$56:$G$56,1,BC$4)+(INDEX(Assumptions!$C$56:$G$56,1,BC$4)-IF(BC$4=1,Assumptions!$H$56,INDEX(Assumptions!$C$56:$G$56,1,MAX(1,BC$4-1))))*(BC$5-(BC$6+1)/2)/BC$6)*BC28</f>
        <v>10.254166666666665</v>
      </c>
    </row>
    <row r="35">
      <c r="A35" s="4" t="inlineStr">
        <is>
          <t>Heads: lead-verification callers</t>
        </is>
      </c>
      <c r="B35" s="2" t="inlineStr">
        <is>
          <t>people</t>
        </is>
      </c>
      <c r="C35" s="34">
        <f>C11/Assumptions!$C$64</f>
        <v>0.576</v>
      </c>
      <c r="D35" s="34">
        <f>D11/Assumptions!$C$64</f>
        <v>1.008</v>
      </c>
      <c r="E35" s="34">
        <f>E11/Assumptions!$C$64</f>
        <v>1.44</v>
      </c>
      <c r="F35" s="34">
        <f>F11/Assumptions!$C$64</f>
        <v>1.872</v>
      </c>
      <c r="G35" s="34">
        <f>G11/Assumptions!$C$64</f>
        <v>2.304</v>
      </c>
      <c r="H35" s="34">
        <f>H11/Assumptions!$C$64</f>
        <v>2.628259311604176</v>
      </c>
      <c r="I35" s="34">
        <f>I11/Assumptions!$C$64</f>
        <v>2.998154083782096</v>
      </c>
      <c r="J35" s="34">
        <f>J11/Assumptions!$C$64</f>
        <v>3.420106939376856</v>
      </c>
      <c r="K35" s="34">
        <f>K11/Assumptions!$C$64</f>
        <v>3.901444405425</v>
      </c>
      <c r="L35" s="34">
        <f>L11/Assumptions!$C$64</f>
        <v>4.4505241264167115</v>
      </c>
      <c r="M35" s="34">
        <f>M11/Assumptions!$C$64</f>
        <v>5.076879981238584</v>
      </c>
      <c r="N35" s="34">
        <f>N11/Assumptions!$C$64</f>
        <v>5.7913876235186645</v>
      </c>
      <c r="O35" s="34">
        <f>O11/Assumptions!$C$64</f>
        <v>6.606453319714368</v>
      </c>
      <c r="P35" s="34">
        <f>P11/Assumptions!$C$64</f>
        <v>7.536229363809648</v>
      </c>
      <c r="Q35" s="34">
        <f>Q11/Assumptions!$C$64</f>
        <v>8.596859808948482</v>
      </c>
      <c r="R35" s="34">
        <f>R11/Assumptions!$C$64</f>
        <v>9.806760782736262</v>
      </c>
      <c r="S35" s="34">
        <f>S11/Assumptions!$C$64</f>
        <v>11.186940253429224</v>
      </c>
      <c r="T35" s="34">
        <f>T11/Assumptions!$C$64</f>
        <v>11.984320218341663</v>
      </c>
      <c r="U35" s="34">
        <f>U11/Assumptions!$C$64</f>
        <v>12.83853563549035</v>
      </c>
      <c r="V35" s="34">
        <f>V11/Assumptions!$C$64</f>
        <v>13.75363760820516</v>
      </c>
      <c r="W35" s="34">
        <f>W11/Assumptions!$C$64</f>
        <v>14.733965993358312</v>
      </c>
      <c r="X35" s="34">
        <f>X11/Assumptions!$C$64</f>
        <v>15.784169983068814</v>
      </c>
      <c r="Y35" s="34">
        <f>Y11/Assumptions!$C$64</f>
        <v>16.909230153423454</v>
      </c>
      <c r="Z35" s="34">
        <f>Z11/Assumptions!$C$64</f>
        <v>18.1144820847816</v>
      </c>
      <c r="AA35" s="34">
        <f>AA11/Assumptions!$C$64</f>
        <v>19.40564166568164</v>
      </c>
      <c r="AB35" s="34">
        <f>AB11/Assumptions!$C$64</f>
        <v>20.788832200353482</v>
      </c>
      <c r="AC35" s="34">
        <f>AC11/Assumptions!$C$64</f>
        <v>22.270613448394656</v>
      </c>
      <c r="AD35" s="34">
        <f>AD11/Assumptions!$C$64</f>
        <v>23.858012734326937</v>
      </c>
      <c r="AE35" s="34">
        <f>AE11/Assumptions!$C$64</f>
        <v>25.55855827457393</v>
      </c>
      <c r="AF35" s="34">
        <f>AF11/Assumptions!$C$64</f>
        <v>27.033516325541697</v>
      </c>
      <c r="AG35" s="34">
        <f>AG11/Assumptions!$C$64</f>
        <v>28.593592685169753</v>
      </c>
      <c r="AH35" s="34">
        <f>AH11/Assumptions!$C$64</f>
        <v>30.243699443305797</v>
      </c>
      <c r="AI35" s="34">
        <f>AI11/Assumptions!$C$64</f>
        <v>31.9890321614403</v>
      </c>
      <c r="AJ35" s="34">
        <f>AJ11/Assumptions!$C$64</f>
        <v>33.83508623156099</v>
      </c>
      <c r="AK35" s="34">
        <f>AK11/Assumptions!$C$64</f>
        <v>35.787674179062</v>
      </c>
      <c r="AL35" s="34">
        <f>AL11/Assumptions!$C$64</f>
        <v>37.85294396418705</v>
      </c>
      <c r="AM35" s="34">
        <f>AM11/Assumptions!$C$64</f>
        <v>40.03739833962645</v>
      </c>
      <c r="AN35" s="34">
        <f>AN11/Assumptions!$C$64</f>
        <v>42.3479153252259</v>
      </c>
      <c r="AO35" s="34">
        <f>AO11/Assumptions!$C$64</f>
        <v>44.79176986426665</v>
      </c>
      <c r="AP35" s="34">
        <f>AP11/Assumptions!$C$64</f>
        <v>47.37665672950635</v>
      </c>
      <c r="AQ35" s="34">
        <f>AQ11/Assumptions!$C$64</f>
        <v>50.11071475110659</v>
      </c>
      <c r="AR35" s="34">
        <f>AR11/Assumptions!$C$64</f>
        <v>51.48417195361656</v>
      </c>
      <c r="AS35" s="34">
        <f>AS11/Assumptions!$C$64</f>
        <v>52.89527349419904</v>
      </c>
      <c r="AT35" s="34">
        <f>AT11/Assumptions!$C$64</f>
        <v>54.345051145949036</v>
      </c>
      <c r="AU35" s="34">
        <f>AU11/Assumptions!$C$64</f>
        <v>55.83456496126583</v>
      </c>
      <c r="AV35" s="34">
        <f>AV11/Assumptions!$C$64</f>
        <v>57.36490404694775</v>
      </c>
      <c r="AW35" s="34">
        <f>AW11/Assumptions!$C$64</f>
        <v>58.93718736052512</v>
      </c>
      <c r="AX35" s="34">
        <f>AX11/Assumptions!$C$64</f>
        <v>60.55256452842361</v>
      </c>
      <c r="AY35" s="34">
        <f>AY11/Assumptions!$C$64</f>
        <v>62.212216686552</v>
      </c>
      <c r="AZ35" s="34">
        <f>AZ11/Assumptions!$C$64</f>
        <v>63.91735734392783</v>
      </c>
      <c r="BA35" s="34">
        <f>BA11/Assumptions!$C$64</f>
        <v>65.66923326997367</v>
      </c>
      <c r="BB35" s="34">
        <f>BB11/Assumptions!$C$64</f>
        <v>67.46912540613576</v>
      </c>
      <c r="BC35" s="34">
        <f>BC11/Assumptions!$C$64</f>
        <v>69.31834980248304</v>
      </c>
    </row>
    <row r="36">
      <c r="A36" s="3" t="inlineStr">
        <is>
          <t>Total heads</t>
        </is>
      </c>
      <c r="B36" s="2" t="inlineStr">
        <is>
          <t>people</t>
        </is>
      </c>
      <c r="C36" s="35">
        <f>SUM(C29:C35)</f>
        <v>8.376</v>
      </c>
      <c r="D36" s="35">
        <f>SUM(D29:D35)</f>
        <v>10.408000000000001</v>
      </c>
      <c r="E36" s="35">
        <f>SUM(E29:E35)</f>
        <v>12.44</v>
      </c>
      <c r="F36" s="35">
        <f>SUM(F29:F35)</f>
        <v>14.472</v>
      </c>
      <c r="G36" s="35">
        <f>SUM(G29:G35)</f>
        <v>16.504</v>
      </c>
      <c r="H36" s="35">
        <f>SUM(H29:H35)</f>
        <v>25.24492597827084</v>
      </c>
      <c r="I36" s="35">
        <f>SUM(I29:I35)</f>
        <v>27.148154083782096</v>
      </c>
      <c r="J36" s="35">
        <f>SUM(J29:J35)</f>
        <v>29.10344027271018</v>
      </c>
      <c r="K36" s="35">
        <f>SUM(K29:K35)</f>
        <v>31.11811107209166</v>
      </c>
      <c r="L36" s="35">
        <f>SUM(L29:L35)</f>
        <v>33.20052412641671</v>
      </c>
      <c r="M36" s="35">
        <f>SUM(M29:M35)</f>
        <v>35.360213314571915</v>
      </c>
      <c r="N36" s="35">
        <f>SUM(N29:N35)</f>
        <v>37.60805429018533</v>
      </c>
      <c r="O36" s="35">
        <f>SUM(O29:O35)</f>
        <v>39.95645331971436</v>
      </c>
      <c r="P36" s="35">
        <f>SUM(P29:P35)</f>
        <v>42.41956269714298</v>
      </c>
      <c r="Q36" s="35">
        <f>SUM(Q29:Q35)</f>
        <v>45.013526475615144</v>
      </c>
      <c r="R36" s="35">
        <f>SUM(R29:R35)</f>
        <v>47.75676078273626</v>
      </c>
      <c r="S36" s="35">
        <f>SUM(S29:S35)</f>
        <v>50.67027358676256</v>
      </c>
      <c r="T36" s="35">
        <f>SUM(T29:T35)</f>
        <v>54.86973688500834</v>
      </c>
      <c r="U36" s="35">
        <f>SUM(U29:U35)</f>
        <v>57.54478563549034</v>
      </c>
      <c r="V36" s="35">
        <f>SUM(V29:V35)</f>
        <v>60.28072094153848</v>
      </c>
      <c r="W36" s="35">
        <f>SUM(W29:W35)</f>
        <v>63.081882660024974</v>
      </c>
      <c r="X36" s="35">
        <f>SUM(X29:X35)</f>
        <v>65.95291998306881</v>
      </c>
      <c r="Y36" s="35">
        <f>SUM(Y29:Y35)</f>
        <v>68.89881348675678</v>
      </c>
      <c r="Z36" s="35">
        <f>SUM(Z29:Z35)</f>
        <v>71.92489875144827</v>
      </c>
      <c r="AA36" s="35">
        <f>SUM(AA29:AA35)</f>
        <v>75.03689166568164</v>
      </c>
      <c r="AB36" s="35">
        <f>SUM(AB29:AB35)</f>
        <v>78.24091553368682</v>
      </c>
      <c r="AC36" s="35">
        <f>SUM(AC29:AC35)</f>
        <v>81.54353011506132</v>
      </c>
      <c r="AD36" s="35">
        <f>SUM(AD29:AD35)</f>
        <v>84.95176273432693</v>
      </c>
      <c r="AE36" s="35">
        <f>SUM(AE29:AE35)</f>
        <v>88.47314160790727</v>
      </c>
      <c r="AF36" s="35">
        <f>SUM(AF29:AF35)</f>
        <v>90.52309965887503</v>
      </c>
      <c r="AG36" s="35">
        <f>SUM(AG29:AG35)</f>
        <v>93.71234268516974</v>
      </c>
      <c r="AH36" s="35">
        <f>SUM(AH29:AH35)</f>
        <v>96.99161610997247</v>
      </c>
      <c r="AI36" s="35">
        <f>SUM(AI29:AI35)</f>
        <v>100.36611549477362</v>
      </c>
      <c r="AJ36" s="35">
        <f>SUM(AJ29:AJ35)</f>
        <v>103.84133623156099</v>
      </c>
      <c r="AK36" s="35">
        <f>SUM(AK29:AK35)</f>
        <v>107.42309084572867</v>
      </c>
      <c r="AL36" s="35">
        <f>SUM(AL29:AL35)</f>
        <v>111.11752729752038</v>
      </c>
      <c r="AM36" s="35">
        <f>SUM(AM29:AM35)</f>
        <v>114.93114833962645</v>
      </c>
      <c r="AN36" s="35">
        <f>SUM(AN29:AN35)</f>
        <v>118.87083199189254</v>
      </c>
      <c r="AO36" s="35">
        <f>SUM(AO29:AO35)</f>
        <v>122.94385319759996</v>
      </c>
      <c r="AP36" s="35">
        <f>SUM(AP29:AP35)</f>
        <v>127.15790672950634</v>
      </c>
      <c r="AQ36" s="35">
        <f>SUM(AQ29:AQ35)</f>
        <v>131.52113141777326</v>
      </c>
      <c r="AR36" s="35">
        <f>SUM(AR29:AR35)</f>
        <v>134.5237552869499</v>
      </c>
      <c r="AS36" s="35">
        <f>SUM(AS29:AS35)</f>
        <v>137.56402349419903</v>
      </c>
      <c r="AT36" s="35">
        <f>SUM(AT29:AT35)</f>
        <v>140.6429678126157</v>
      </c>
      <c r="AU36" s="35">
        <f>SUM(AU29:AU35)</f>
        <v>143.76164829459915</v>
      </c>
      <c r="AV36" s="35">
        <f>SUM(AV29:AV35)</f>
        <v>146.92115404694775</v>
      </c>
      <c r="AW36" s="35">
        <f>SUM(AW29:AW35)</f>
        <v>150.12260402719178</v>
      </c>
      <c r="AX36" s="35">
        <f>SUM(AX29:AX35)</f>
        <v>153.36714786175693</v>
      </c>
      <c r="AY36" s="35">
        <f>SUM(AY29:AY35)</f>
        <v>156.655966686552</v>
      </c>
      <c r="AZ36" s="35">
        <f>SUM(AZ29:AZ35)</f>
        <v>159.99027401059448</v>
      </c>
      <c r="BA36" s="35">
        <f>SUM(BA29:BA35)</f>
        <v>163.37131660330698</v>
      </c>
      <c r="BB36" s="35">
        <f>SUM(BB29:BB35)</f>
        <v>166.80037540613574</v>
      </c>
      <c r="BC36" s="35">
        <f>SUM(BC29:BC35)</f>
        <v>170.27876646914967</v>
      </c>
    </row>
    <row r="37">
      <c r="A37" s="4" t="inlineStr">
        <is>
          <t>Pay index (April rises)</t>
        </is>
      </c>
      <c r="B37" s="2" t="inlineStr">
        <is>
          <t>x FY27</t>
        </is>
      </c>
      <c r="C37" s="37">
        <f>(1+Assumptions!$C$66)^(C$4-1)</f>
        <v>1.0</v>
      </c>
      <c r="D37" s="37">
        <f>(1+Assumptions!$C$66)^(D$4-1)</f>
        <v>1.0</v>
      </c>
      <c r="E37" s="37">
        <f>(1+Assumptions!$C$66)^(E$4-1)</f>
        <v>1.0</v>
      </c>
      <c r="F37" s="37">
        <f>(1+Assumptions!$C$66)^(F$4-1)</f>
        <v>1.0</v>
      </c>
      <c r="G37" s="37">
        <f>(1+Assumptions!$C$66)^(G$4-1)</f>
        <v>1.0</v>
      </c>
      <c r="H37" s="37">
        <f>(1+Assumptions!$C$66)^(H$4-1)</f>
        <v>1.09</v>
      </c>
      <c r="I37" s="37">
        <f>(1+Assumptions!$C$66)^(I$4-1)</f>
        <v>1.09</v>
      </c>
      <c r="J37" s="37">
        <f>(1+Assumptions!$C$66)^(J$4-1)</f>
        <v>1.09</v>
      </c>
      <c r="K37" s="37">
        <f>(1+Assumptions!$C$66)^(K$4-1)</f>
        <v>1.09</v>
      </c>
      <c r="L37" s="37">
        <f>(1+Assumptions!$C$66)^(L$4-1)</f>
        <v>1.09</v>
      </c>
      <c r="M37" s="37">
        <f>(1+Assumptions!$C$66)^(M$4-1)</f>
        <v>1.09</v>
      </c>
      <c r="N37" s="37">
        <f>(1+Assumptions!$C$66)^(N$4-1)</f>
        <v>1.09</v>
      </c>
      <c r="O37" s="37">
        <f>(1+Assumptions!$C$66)^(O$4-1)</f>
        <v>1.09</v>
      </c>
      <c r="P37" s="37">
        <f>(1+Assumptions!$C$66)^(P$4-1)</f>
        <v>1.09</v>
      </c>
      <c r="Q37" s="37">
        <f>(1+Assumptions!$C$66)^(Q$4-1)</f>
        <v>1.09</v>
      </c>
      <c r="R37" s="37">
        <f>(1+Assumptions!$C$66)^(R$4-1)</f>
        <v>1.09</v>
      </c>
      <c r="S37" s="37">
        <f>(1+Assumptions!$C$66)^(S$4-1)</f>
        <v>1.09</v>
      </c>
      <c r="T37" s="37">
        <f>(1+Assumptions!$C$66)^(T$4-1)</f>
        <v>1.1881000000000002</v>
      </c>
      <c r="U37" s="37">
        <f>(1+Assumptions!$C$66)^(U$4-1)</f>
        <v>1.1881000000000002</v>
      </c>
      <c r="V37" s="37">
        <f>(1+Assumptions!$C$66)^(V$4-1)</f>
        <v>1.1881000000000002</v>
      </c>
      <c r="W37" s="37">
        <f>(1+Assumptions!$C$66)^(W$4-1)</f>
        <v>1.1881000000000002</v>
      </c>
      <c r="X37" s="37">
        <f>(1+Assumptions!$C$66)^(X$4-1)</f>
        <v>1.1881000000000002</v>
      </c>
      <c r="Y37" s="37">
        <f>(1+Assumptions!$C$66)^(Y$4-1)</f>
        <v>1.1881000000000002</v>
      </c>
      <c r="Z37" s="37">
        <f>(1+Assumptions!$C$66)^(Z$4-1)</f>
        <v>1.1881000000000002</v>
      </c>
      <c r="AA37" s="37">
        <f>(1+Assumptions!$C$66)^(AA$4-1)</f>
        <v>1.1881000000000002</v>
      </c>
      <c r="AB37" s="37">
        <f>(1+Assumptions!$C$66)^(AB$4-1)</f>
        <v>1.1881000000000002</v>
      </c>
      <c r="AC37" s="37">
        <f>(1+Assumptions!$C$66)^(AC$4-1)</f>
        <v>1.1881000000000002</v>
      </c>
      <c r="AD37" s="37">
        <f>(1+Assumptions!$C$66)^(AD$4-1)</f>
        <v>1.1881000000000002</v>
      </c>
      <c r="AE37" s="37">
        <f>(1+Assumptions!$C$66)^(AE$4-1)</f>
        <v>1.1881000000000002</v>
      </c>
      <c r="AF37" s="37">
        <f>(1+Assumptions!$C$66)^(AF$4-1)</f>
        <v>1.2950290000000002</v>
      </c>
      <c r="AG37" s="37">
        <f>(1+Assumptions!$C$66)^(AG$4-1)</f>
        <v>1.2950290000000002</v>
      </c>
      <c r="AH37" s="37">
        <f>(1+Assumptions!$C$66)^(AH$4-1)</f>
        <v>1.2950290000000002</v>
      </c>
      <c r="AI37" s="37">
        <f>(1+Assumptions!$C$66)^(AI$4-1)</f>
        <v>1.2950290000000002</v>
      </c>
      <c r="AJ37" s="37">
        <f>(1+Assumptions!$C$66)^(AJ$4-1)</f>
        <v>1.2950290000000002</v>
      </c>
      <c r="AK37" s="37">
        <f>(1+Assumptions!$C$66)^(AK$4-1)</f>
        <v>1.2950290000000002</v>
      </c>
      <c r="AL37" s="37">
        <f>(1+Assumptions!$C$66)^(AL$4-1)</f>
        <v>1.2950290000000002</v>
      </c>
      <c r="AM37" s="37">
        <f>(1+Assumptions!$C$66)^(AM$4-1)</f>
        <v>1.2950290000000002</v>
      </c>
      <c r="AN37" s="37">
        <f>(1+Assumptions!$C$66)^(AN$4-1)</f>
        <v>1.2950290000000002</v>
      </c>
      <c r="AO37" s="37">
        <f>(1+Assumptions!$C$66)^(AO$4-1)</f>
        <v>1.2950290000000002</v>
      </c>
      <c r="AP37" s="37">
        <f>(1+Assumptions!$C$66)^(AP$4-1)</f>
        <v>1.2950290000000002</v>
      </c>
      <c r="AQ37" s="37">
        <f>(1+Assumptions!$C$66)^(AQ$4-1)</f>
        <v>1.2950290000000002</v>
      </c>
      <c r="AR37" s="37">
        <f>(1+Assumptions!$C$66)^(AR$4-1)</f>
        <v>1.4115816100000005</v>
      </c>
      <c r="AS37" s="37">
        <f>(1+Assumptions!$C$66)^(AS$4-1)</f>
        <v>1.4115816100000005</v>
      </c>
      <c r="AT37" s="37">
        <f>(1+Assumptions!$C$66)^(AT$4-1)</f>
        <v>1.4115816100000005</v>
      </c>
      <c r="AU37" s="37">
        <f>(1+Assumptions!$C$66)^(AU$4-1)</f>
        <v>1.4115816100000005</v>
      </c>
      <c r="AV37" s="37">
        <f>(1+Assumptions!$C$66)^(AV$4-1)</f>
        <v>1.4115816100000005</v>
      </c>
      <c r="AW37" s="37">
        <f>(1+Assumptions!$C$66)^(AW$4-1)</f>
        <v>1.4115816100000005</v>
      </c>
      <c r="AX37" s="37">
        <f>(1+Assumptions!$C$66)^(AX$4-1)</f>
        <v>1.4115816100000005</v>
      </c>
      <c r="AY37" s="37">
        <f>(1+Assumptions!$C$66)^(AY$4-1)</f>
        <v>1.4115816100000005</v>
      </c>
      <c r="AZ37" s="37">
        <f>(1+Assumptions!$C$66)^(AZ$4-1)</f>
        <v>1.4115816100000005</v>
      </c>
      <c r="BA37" s="37">
        <f>(1+Assumptions!$C$66)^(BA$4-1)</f>
        <v>1.4115816100000005</v>
      </c>
      <c r="BB37" s="37">
        <f>(1+Assumptions!$C$66)^(BB$4-1)</f>
        <v>1.4115816100000005</v>
      </c>
      <c r="BC37" s="37">
        <f>(1+Assumptions!$C$66)^(BC$4-1)</f>
        <v>1.4115816100000005</v>
      </c>
    </row>
    <row r="38">
      <c r="A38" s="4" t="inlineStr">
        <is>
          <t>Payroll: Product &amp; engineering (incl. design, ML/PV)</t>
        </is>
      </c>
      <c r="B38" s="2" t="inlineStr">
        <is>
          <t>₹ lakh</t>
        </is>
      </c>
      <c r="C38" s="34">
        <f>C29*Assumptions!$C$57*C37/12*(1+Assumptions!$C$67)</f>
        <v>6.545</v>
      </c>
      <c r="D38" s="34">
        <f>D29*Assumptions!$C$57*D37/12*(1+Assumptions!$C$67)</f>
        <v>8.085</v>
      </c>
      <c r="E38" s="34">
        <f>E29*Assumptions!$C$57*E37/12*(1+Assumptions!$C$67)</f>
        <v>9.625</v>
      </c>
      <c r="F38" s="34">
        <f>F29*Assumptions!$C$57*F37/12*(1+Assumptions!$C$67)</f>
        <v>11.165</v>
      </c>
      <c r="G38" s="34">
        <f>G29*Assumptions!$C$57*G37/12*(1+Assumptions!$C$67)</f>
        <v>12.705</v>
      </c>
      <c r="H38" s="34">
        <f>H29*Assumptions!$C$57*H37/12*(1+Assumptions!$C$67)</f>
        <v>21.214181770833335</v>
      </c>
      <c r="I38" s="34">
        <f>I29*Assumptions!$C$57*I37/12*(1+Assumptions!$C$67)</f>
        <v>22.621757812500004</v>
      </c>
      <c r="J38" s="34">
        <f>J29*Assumptions!$C$57*J37/12*(1+Assumptions!$C$67)</f>
        <v>24.02933385416667</v>
      </c>
      <c r="K38" s="34">
        <f>K29*Assumptions!$C$57*K37/12*(1+Assumptions!$C$67)</f>
        <v>25.436909895833335</v>
      </c>
      <c r="L38" s="34">
        <f>L29*Assumptions!$C$57*L37/12*(1+Assumptions!$C$67)</f>
        <v>26.8444859375</v>
      </c>
      <c r="M38" s="34">
        <f>M29*Assumptions!$C$57*M37/12*(1+Assumptions!$C$67)</f>
        <v>28.25206197916667</v>
      </c>
      <c r="N38" s="34">
        <f>N29*Assumptions!$C$57*N37/12*(1+Assumptions!$C$67)</f>
        <v>29.65963802083333</v>
      </c>
      <c r="O38" s="34">
        <f>O29*Assumptions!$C$57*O37/12*(1+Assumptions!$C$67)</f>
        <v>31.0672140625</v>
      </c>
      <c r="P38" s="34">
        <f>P29*Assumptions!$C$57*P37/12*(1+Assumptions!$C$67)</f>
        <v>32.47479010416667</v>
      </c>
      <c r="Q38" s="34">
        <f>Q29*Assumptions!$C$57*Q37/12*(1+Assumptions!$C$67)</f>
        <v>33.88236614583333</v>
      </c>
      <c r="R38" s="34">
        <f>R29*Assumptions!$C$57*R37/12*(1+Assumptions!$C$67)</f>
        <v>35.289942187499996</v>
      </c>
      <c r="S38" s="34">
        <f>S29*Assumptions!$C$57*S37/12*(1+Assumptions!$C$67)</f>
        <v>36.697518229166675</v>
      </c>
      <c r="T38" s="34">
        <f>T29*Assumptions!$C$57*T37/12*(1+Assumptions!$C$67)</f>
        <v>40.10988471875</v>
      </c>
      <c r="U38" s="34">
        <f>U29*Assumptions!$C$57*U37/12*(1+Assumptions!$C$67)</f>
        <v>41.42496290625</v>
      </c>
      <c r="V38" s="34">
        <f>V29*Assumptions!$C$57*V37/12*(1+Assumptions!$C$67)</f>
        <v>42.74004109375001</v>
      </c>
      <c r="W38" s="34">
        <f>W29*Assumptions!$C$57*W37/12*(1+Assumptions!$C$67)</f>
        <v>44.05511928125001</v>
      </c>
      <c r="X38" s="34">
        <f>X29*Assumptions!$C$57*X37/12*(1+Assumptions!$C$67)</f>
        <v>45.37019746875001</v>
      </c>
      <c r="Y38" s="34">
        <f>Y29*Assumptions!$C$57*Y37/12*(1+Assumptions!$C$67)</f>
        <v>46.68527565625</v>
      </c>
      <c r="Z38" s="34">
        <f>Z29*Assumptions!$C$57*Z37/12*(1+Assumptions!$C$67)</f>
        <v>48.00035384375</v>
      </c>
      <c r="AA38" s="34">
        <f>AA29*Assumptions!$C$57*AA37/12*(1+Assumptions!$C$67)</f>
        <v>49.31543203125001</v>
      </c>
      <c r="AB38" s="34">
        <f>AB29*Assumptions!$C$57*AB37/12*(1+Assumptions!$C$67)</f>
        <v>50.630510218750004</v>
      </c>
      <c r="AC38" s="34">
        <f>AC29*Assumptions!$C$57*AC37/12*(1+Assumptions!$C$67)</f>
        <v>51.94558840625</v>
      </c>
      <c r="AD38" s="34">
        <f>AD29*Assumptions!$C$57*AD37/12*(1+Assumptions!$C$67)</f>
        <v>53.26066659375</v>
      </c>
      <c r="AE38" s="34">
        <f>AE29*Assumptions!$C$57*AE37/12*(1+Assumptions!$C$67)</f>
        <v>54.575744781249995</v>
      </c>
      <c r="AF38" s="34">
        <f>AF29*Assumptions!$C$57*AF37/12*(1+Assumptions!$C$67)</f>
        <v>60.920997035937496</v>
      </c>
      <c r="AG38" s="34">
        <f>AG29*Assumptions!$C$57*AG37/12*(1+Assumptions!$C$67)</f>
        <v>62.354432260312514</v>
      </c>
      <c r="AH38" s="34">
        <f>AH29*Assumptions!$C$57*AH37/12*(1+Assumptions!$C$67)</f>
        <v>63.78786748468751</v>
      </c>
      <c r="AI38" s="34">
        <f>AI29*Assumptions!$C$57*AI37/12*(1+Assumptions!$C$67)</f>
        <v>65.2213027090625</v>
      </c>
      <c r="AJ38" s="34">
        <f>AJ29*Assumptions!$C$57*AJ37/12*(1+Assumptions!$C$67)</f>
        <v>66.6547379334375</v>
      </c>
      <c r="AK38" s="34">
        <f>AK29*Assumptions!$C$57*AK37/12*(1+Assumptions!$C$67)</f>
        <v>68.08817315781249</v>
      </c>
      <c r="AL38" s="34">
        <f>AL29*Assumptions!$C$57*AL37/12*(1+Assumptions!$C$67)</f>
        <v>69.52160838218751</v>
      </c>
      <c r="AM38" s="34">
        <f>AM29*Assumptions!$C$57*AM37/12*(1+Assumptions!$C$67)</f>
        <v>70.95504360656251</v>
      </c>
      <c r="AN38" s="34">
        <f>AN29*Assumptions!$C$57*AN37/12*(1+Assumptions!$C$67)</f>
        <v>72.3884788309375</v>
      </c>
      <c r="AO38" s="34">
        <f>AO29*Assumptions!$C$57*AO37/12*(1+Assumptions!$C$67)</f>
        <v>73.8219140553125</v>
      </c>
      <c r="AP38" s="34">
        <f>AP29*Assumptions!$C$57*AP37/12*(1+Assumptions!$C$67)</f>
        <v>75.25534927968751</v>
      </c>
      <c r="AQ38" s="34">
        <f>AQ29*Assumptions!$C$57*AQ37/12*(1+Assumptions!$C$67)</f>
        <v>76.68878450406253</v>
      </c>
      <c r="AR38" s="34">
        <f>AR29*Assumptions!$C$57*AR37/12*(1+Assumptions!$C$67)</f>
        <v>85.1532195039969</v>
      </c>
      <c r="AS38" s="34">
        <f>AS29*Assumptions!$C$57*AS37/12*(1+Assumptions!$C$67)</f>
        <v>86.71566389856565</v>
      </c>
      <c r="AT38" s="34">
        <f>AT29*Assumptions!$C$57*AT37/12*(1+Assumptions!$C$67)</f>
        <v>88.27810829313441</v>
      </c>
      <c r="AU38" s="34">
        <f>AU29*Assumptions!$C$57*AU37/12*(1+Assumptions!$C$67)</f>
        <v>89.84055268770315</v>
      </c>
      <c r="AV38" s="34">
        <f>AV29*Assumptions!$C$57*AV37/12*(1+Assumptions!$C$67)</f>
        <v>91.40299708227188</v>
      </c>
      <c r="AW38" s="34">
        <f>AW29*Assumptions!$C$57*AW37/12*(1+Assumptions!$C$67)</f>
        <v>92.96544147684065</v>
      </c>
      <c r="AX38" s="34">
        <f>AX29*Assumptions!$C$57*AX37/12*(1+Assumptions!$C$67)</f>
        <v>94.5278858714094</v>
      </c>
      <c r="AY38" s="34">
        <f>AY29*Assumptions!$C$57*AY37/12*(1+Assumptions!$C$67)</f>
        <v>96.09033026597814</v>
      </c>
      <c r="AZ38" s="34">
        <f>AZ29*Assumptions!$C$57*AZ37/12*(1+Assumptions!$C$67)</f>
        <v>97.65277466054691</v>
      </c>
      <c r="BA38" s="34">
        <f>BA29*Assumptions!$C$57*BA37/12*(1+Assumptions!$C$67)</f>
        <v>99.21521905511565</v>
      </c>
      <c r="BB38" s="34">
        <f>BB29*Assumptions!$C$57*BB37/12*(1+Assumptions!$C$67)</f>
        <v>100.77766344968441</v>
      </c>
      <c r="BC38" s="34">
        <f>BC29*Assumptions!$C$57*BC37/12*(1+Assumptions!$C$67)</f>
        <v>102.34010784425315</v>
      </c>
    </row>
    <row r="39">
      <c r="A39" s="4" t="inlineStr">
        <is>
          <t>Payroll: Growth &amp; content</t>
        </is>
      </c>
      <c r="B39" s="2" t="inlineStr">
        <is>
          <t>₹ lakh</t>
        </is>
      </c>
      <c r="C39" s="34">
        <f>C30*Assumptions!$C$58*C37/12*(1+Assumptions!$C$67)</f>
        <v>1.6800000000000004</v>
      </c>
      <c r="D39" s="34">
        <f>D30*Assumptions!$C$58*D37/12*(1+Assumptions!$C$67)</f>
        <v>1.8900000000000001</v>
      </c>
      <c r="E39" s="34">
        <f>E30*Assumptions!$C$58*E37/12*(1+Assumptions!$C$67)</f>
        <v>2.1</v>
      </c>
      <c r="F39" s="34">
        <f>F30*Assumptions!$C$58*F37/12*(1+Assumptions!$C$67)</f>
        <v>2.3100000000000005</v>
      </c>
      <c r="G39" s="34">
        <f>G30*Assumptions!$C$58*G37/12*(1+Assumptions!$C$67)</f>
        <v>2.52</v>
      </c>
      <c r="H39" s="34">
        <f>H30*Assumptions!$C$58*H37/12*(1+Assumptions!$C$67)</f>
        <v>4.0582062500000005</v>
      </c>
      <c r="I39" s="34">
        <f>I30*Assumptions!$C$58*I37/12*(1+Assumptions!$C$67)</f>
        <v>4.27756875</v>
      </c>
      <c r="J39" s="34">
        <f>J30*Assumptions!$C$58*J37/12*(1+Assumptions!$C$67)</f>
        <v>4.49693125</v>
      </c>
      <c r="K39" s="34">
        <f>K30*Assumptions!$C$58*K37/12*(1+Assumptions!$C$67)</f>
        <v>4.716293750000001</v>
      </c>
      <c r="L39" s="34">
        <f>L30*Assumptions!$C$58*L37/12*(1+Assumptions!$C$67)</f>
        <v>4.935656250000001</v>
      </c>
      <c r="M39" s="34">
        <f>M30*Assumptions!$C$58*M37/12*(1+Assumptions!$C$67)</f>
        <v>5.15501875</v>
      </c>
      <c r="N39" s="34">
        <f>N30*Assumptions!$C$58*N37/12*(1+Assumptions!$C$67)</f>
        <v>5.374381250000001</v>
      </c>
      <c r="O39" s="34">
        <f>O30*Assumptions!$C$58*O37/12*(1+Assumptions!$C$67)</f>
        <v>5.593743749999999</v>
      </c>
      <c r="P39" s="34">
        <f>P30*Assumptions!$C$58*P37/12*(1+Assumptions!$C$67)</f>
        <v>5.813106250000001</v>
      </c>
      <c r="Q39" s="34">
        <f>Q30*Assumptions!$C$58*Q37/12*(1+Assumptions!$C$67)</f>
        <v>6.0324687500000005</v>
      </c>
      <c r="R39" s="34">
        <f>R30*Assumptions!$C$58*R37/12*(1+Assumptions!$C$67)</f>
        <v>6.25183125</v>
      </c>
      <c r="S39" s="34">
        <f>S30*Assumptions!$C$58*S37/12*(1+Assumptions!$C$67)</f>
        <v>6.471193750000001</v>
      </c>
      <c r="T39" s="34">
        <f>T30*Assumptions!$C$58*T37/12*(1+Assumptions!$C$67)</f>
        <v>8.069797968749999</v>
      </c>
      <c r="U39" s="34">
        <f>U30*Assumptions!$C$58*U37/12*(1+Assumptions!$C$67)</f>
        <v>8.428455656250001</v>
      </c>
      <c r="V39" s="34">
        <f>V30*Assumptions!$C$58*V37/12*(1+Assumptions!$C$67)</f>
        <v>8.78711334375</v>
      </c>
      <c r="W39" s="34">
        <f>W30*Assumptions!$C$58*W37/12*(1+Assumptions!$C$67)</f>
        <v>9.145771031250002</v>
      </c>
      <c r="X39" s="34">
        <f>X30*Assumptions!$C$58*X37/12*(1+Assumptions!$C$67)</f>
        <v>9.50442871875</v>
      </c>
      <c r="Y39" s="34">
        <f>Y30*Assumptions!$C$58*Y37/12*(1+Assumptions!$C$67)</f>
        <v>9.86308640625</v>
      </c>
      <c r="Z39" s="34">
        <f>Z30*Assumptions!$C$58*Z37/12*(1+Assumptions!$C$67)</f>
        <v>10.22174409375</v>
      </c>
      <c r="AA39" s="34">
        <f>AA30*Assumptions!$C$58*AA37/12*(1+Assumptions!$C$67)</f>
        <v>10.580401781250002</v>
      </c>
      <c r="AB39" s="34">
        <f>AB30*Assumptions!$C$58*AB37/12*(1+Assumptions!$C$67)</f>
        <v>10.939059468750003</v>
      </c>
      <c r="AC39" s="34">
        <f>AC30*Assumptions!$C$58*AC37/12*(1+Assumptions!$C$67)</f>
        <v>11.297717156250002</v>
      </c>
      <c r="AD39" s="34">
        <f>AD30*Assumptions!$C$58*AD37/12*(1+Assumptions!$C$67)</f>
        <v>11.656374843750003</v>
      </c>
      <c r="AE39" s="34">
        <f>AE30*Assumptions!$C$58*AE37/12*(1+Assumptions!$C$67)</f>
        <v>12.015032531250002</v>
      </c>
      <c r="AF39" s="34">
        <f>AF30*Assumptions!$C$58*AF37/12*(1+Assumptions!$C$67)</f>
        <v>12.640292433125</v>
      </c>
      <c r="AG39" s="34">
        <f>AG30*Assumptions!$C$58*AG37/12*(1+Assumptions!$C$67)</f>
        <v>12.900917019375001</v>
      </c>
      <c r="AH39" s="34">
        <f>AH30*Assumptions!$C$58*AH37/12*(1+Assumptions!$C$67)</f>
        <v>13.161541605625</v>
      </c>
      <c r="AI39" s="34">
        <f>AI30*Assumptions!$C$58*AI37/12*(1+Assumptions!$C$67)</f>
        <v>13.422166191875004</v>
      </c>
      <c r="AJ39" s="34">
        <f>AJ30*Assumptions!$C$58*AJ37/12*(1+Assumptions!$C$67)</f>
        <v>13.682790778125003</v>
      </c>
      <c r="AK39" s="34">
        <f>AK30*Assumptions!$C$58*AK37/12*(1+Assumptions!$C$67)</f>
        <v>13.943415364375003</v>
      </c>
      <c r="AL39" s="34">
        <f>AL30*Assumptions!$C$58*AL37/12*(1+Assumptions!$C$67)</f>
        <v>14.204039950625</v>
      </c>
      <c r="AM39" s="34">
        <f>AM30*Assumptions!$C$58*AM37/12*(1+Assumptions!$C$67)</f>
        <v>14.464664536875002</v>
      </c>
      <c r="AN39" s="34">
        <f>AN30*Assumptions!$C$58*AN37/12*(1+Assumptions!$C$67)</f>
        <v>14.725289123125</v>
      </c>
      <c r="AO39" s="34">
        <f>AO30*Assumptions!$C$58*AO37/12*(1+Assumptions!$C$67)</f>
        <v>14.985913709375003</v>
      </c>
      <c r="AP39" s="34">
        <f>AP30*Assumptions!$C$58*AP37/12*(1+Assumptions!$C$67)</f>
        <v>15.246538295625003</v>
      </c>
      <c r="AQ39" s="34">
        <f>AQ30*Assumptions!$C$58*AQ37/12*(1+Assumptions!$C$67)</f>
        <v>15.507162881874997</v>
      </c>
      <c r="AR39" s="34">
        <f>AR30*Assumptions!$C$58*AR37/12*(1+Assumptions!$C$67)</f>
        <v>17.186888340256257</v>
      </c>
      <c r="AS39" s="34">
        <f>AS30*Assumptions!$C$58*AS37/12*(1+Assumptions!$C$67)</f>
        <v>17.470969139268753</v>
      </c>
      <c r="AT39" s="34">
        <f>AT30*Assumptions!$C$58*AT37/12*(1+Assumptions!$C$67)</f>
        <v>17.75504993828125</v>
      </c>
      <c r="AU39" s="34">
        <f>AU30*Assumptions!$C$58*AU37/12*(1+Assumptions!$C$67)</f>
        <v>18.039130737293757</v>
      </c>
      <c r="AV39" s="34">
        <f>AV30*Assumptions!$C$58*AV37/12*(1+Assumptions!$C$67)</f>
        <v>18.323211536306253</v>
      </c>
      <c r="AW39" s="34">
        <f>AW30*Assumptions!$C$58*AW37/12*(1+Assumptions!$C$67)</f>
        <v>18.607292335318753</v>
      </c>
      <c r="AX39" s="34">
        <f>AX30*Assumptions!$C$58*AX37/12*(1+Assumptions!$C$67)</f>
        <v>18.891373134331257</v>
      </c>
      <c r="AY39" s="34">
        <f>AY30*Assumptions!$C$58*AY37/12*(1+Assumptions!$C$67)</f>
        <v>19.175453933343757</v>
      </c>
      <c r="AZ39" s="34">
        <f>AZ30*Assumptions!$C$58*AZ37/12*(1+Assumptions!$C$67)</f>
        <v>19.459534732356254</v>
      </c>
      <c r="BA39" s="34">
        <f>BA30*Assumptions!$C$58*BA37/12*(1+Assumptions!$C$67)</f>
        <v>19.74361553136876</v>
      </c>
      <c r="BB39" s="34">
        <f>BB30*Assumptions!$C$58*BB37/12*(1+Assumptions!$C$67)</f>
        <v>20.027696330381257</v>
      </c>
      <c r="BC39" s="34">
        <f>BC30*Assumptions!$C$58*BC37/12*(1+Assumptions!$C$67)</f>
        <v>20.311777129393754</v>
      </c>
    </row>
    <row r="40">
      <c r="A40" s="4" t="inlineStr">
        <is>
          <t>Payroll: Installer network &amp; partnerships</t>
        </is>
      </c>
      <c r="B40" s="2" t="inlineStr">
        <is>
          <t>₹ lakh</t>
        </is>
      </c>
      <c r="C40" s="34">
        <f>C31*Assumptions!$C$59*C37/12*(1+Assumptions!$C$67)</f>
        <v>0.945</v>
      </c>
      <c r="D40" s="34">
        <f>D31*Assumptions!$C$59*D37/12*(1+Assumptions!$C$67)</f>
        <v>1.26</v>
      </c>
      <c r="E40" s="34">
        <f>E31*Assumptions!$C$59*E37/12*(1+Assumptions!$C$67)</f>
        <v>1.5750000000000002</v>
      </c>
      <c r="F40" s="34">
        <f>F31*Assumptions!$C$59*F37/12*(1+Assumptions!$C$67)</f>
        <v>1.89</v>
      </c>
      <c r="G40" s="34">
        <f>G31*Assumptions!$C$59*G37/12*(1+Assumptions!$C$67)</f>
        <v>2.205</v>
      </c>
      <c r="H40" s="34">
        <f>H31*Assumptions!$C$59*H37/12*(1+Assumptions!$C$67)</f>
        <v>3.57835078125</v>
      </c>
      <c r="I40" s="34">
        <f>I31*Assumptions!$C$59*I37/12*(1+Assumptions!$C$67)</f>
        <v>3.82513359375</v>
      </c>
      <c r="J40" s="34">
        <f>J31*Assumptions!$C$59*J37/12*(1+Assumptions!$C$67)</f>
        <v>4.07191640625</v>
      </c>
      <c r="K40" s="34">
        <f>K31*Assumptions!$C$59*K37/12*(1+Assumptions!$C$67)</f>
        <v>4.318699218750001</v>
      </c>
      <c r="L40" s="34">
        <f>L31*Assumptions!$C$59*L37/12*(1+Assumptions!$C$67)</f>
        <v>4.56548203125</v>
      </c>
      <c r="M40" s="34">
        <f>M31*Assumptions!$C$59*M37/12*(1+Assumptions!$C$67)</f>
        <v>4.81226484375</v>
      </c>
      <c r="N40" s="34">
        <f>N31*Assumptions!$C$59*N37/12*(1+Assumptions!$C$67)</f>
        <v>5.05904765625</v>
      </c>
      <c r="O40" s="34">
        <f>O31*Assumptions!$C$59*O37/12*(1+Assumptions!$C$67)</f>
        <v>5.30583046875</v>
      </c>
      <c r="P40" s="34">
        <f>P31*Assumptions!$C$59*P37/12*(1+Assumptions!$C$67)</f>
        <v>5.55261328125</v>
      </c>
      <c r="Q40" s="34">
        <f>Q31*Assumptions!$C$59*Q37/12*(1+Assumptions!$C$67)</f>
        <v>5.79939609375</v>
      </c>
      <c r="R40" s="34">
        <f>R31*Assumptions!$C$59*R37/12*(1+Assumptions!$C$67)</f>
        <v>6.04617890625</v>
      </c>
      <c r="S40" s="34">
        <f>S31*Assumptions!$C$59*S37/12*(1+Assumptions!$C$67)</f>
        <v>6.292961718750002</v>
      </c>
      <c r="T40" s="34">
        <f>T31*Assumptions!$C$59*T37/12*(1+Assumptions!$C$67)</f>
        <v>7.711140281250003</v>
      </c>
      <c r="U40" s="34">
        <f>U31*Assumptions!$C$59*U37/12*(1+Assumptions!$C$67)</f>
        <v>8.069797968750002</v>
      </c>
      <c r="V40" s="34">
        <f>V31*Assumptions!$C$59*V37/12*(1+Assumptions!$C$67)</f>
        <v>8.428455656250001</v>
      </c>
      <c r="W40" s="34">
        <f>W31*Assumptions!$C$59*W37/12*(1+Assumptions!$C$67)</f>
        <v>8.78711334375</v>
      </c>
      <c r="X40" s="34">
        <f>X31*Assumptions!$C$59*X37/12*(1+Assumptions!$C$67)</f>
        <v>9.145771031250002</v>
      </c>
      <c r="Y40" s="34">
        <f>Y31*Assumptions!$C$59*Y37/12*(1+Assumptions!$C$67)</f>
        <v>9.50442871875</v>
      </c>
      <c r="Z40" s="34">
        <f>Z31*Assumptions!$C$59*Z37/12*(1+Assumptions!$C$67)</f>
        <v>9.863086406249998</v>
      </c>
      <c r="AA40" s="34">
        <f>AA31*Assumptions!$C$59*AA37/12*(1+Assumptions!$C$67)</f>
        <v>10.22174409375</v>
      </c>
      <c r="AB40" s="34">
        <f>AB31*Assumptions!$C$59*AB37/12*(1+Assumptions!$C$67)</f>
        <v>10.580401781250002</v>
      </c>
      <c r="AC40" s="34">
        <f>AC31*Assumptions!$C$59*AC37/12*(1+Assumptions!$C$67)</f>
        <v>10.93905946875</v>
      </c>
      <c r="AD40" s="34">
        <f>AD31*Assumptions!$C$59*AD37/12*(1+Assumptions!$C$67)</f>
        <v>11.297717156250002</v>
      </c>
      <c r="AE40" s="34">
        <f>AE31*Assumptions!$C$59*AE37/12*(1+Assumptions!$C$67)</f>
        <v>11.656374843750003</v>
      </c>
      <c r="AF40" s="34">
        <f>AF31*Assumptions!$C$59*AF37/12*(1+Assumptions!$C$67)</f>
        <v>12.461113030078126</v>
      </c>
      <c r="AG40" s="34">
        <f>AG31*Assumptions!$C$59*AG37/12*(1+Assumptions!$C$67)</f>
        <v>12.754315689609376</v>
      </c>
      <c r="AH40" s="34">
        <f>AH31*Assumptions!$C$59*AH37/12*(1+Assumptions!$C$67)</f>
        <v>13.047518349140628</v>
      </c>
      <c r="AI40" s="34">
        <f>AI31*Assumptions!$C$59*AI37/12*(1+Assumptions!$C$67)</f>
        <v>13.340721008671876</v>
      </c>
      <c r="AJ40" s="34">
        <f>AJ31*Assumptions!$C$59*AJ37/12*(1+Assumptions!$C$67)</f>
        <v>13.633923668203126</v>
      </c>
      <c r="AK40" s="34">
        <f>AK31*Assumptions!$C$59*AK37/12*(1+Assumptions!$C$67)</f>
        <v>13.927126327734378</v>
      </c>
      <c r="AL40" s="34">
        <f>AL31*Assumptions!$C$59*AL37/12*(1+Assumptions!$C$67)</f>
        <v>14.220328987265626</v>
      </c>
      <c r="AM40" s="34">
        <f>AM31*Assumptions!$C$59*AM37/12*(1+Assumptions!$C$67)</f>
        <v>14.513531646796876</v>
      </c>
      <c r="AN40" s="34">
        <f>AN31*Assumptions!$C$59*AN37/12*(1+Assumptions!$C$67)</f>
        <v>14.806734306328128</v>
      </c>
      <c r="AO40" s="34">
        <f>AO31*Assumptions!$C$59*AO37/12*(1+Assumptions!$C$67)</f>
        <v>15.099936965859376</v>
      </c>
      <c r="AP40" s="34">
        <f>AP31*Assumptions!$C$59*AP37/12*(1+Assumptions!$C$67)</f>
        <v>15.393139625390624</v>
      </c>
      <c r="AQ40" s="34">
        <f>AQ31*Assumptions!$C$59*AQ37/12*(1+Assumptions!$C$67)</f>
        <v>15.68634228492188</v>
      </c>
      <c r="AR40" s="34">
        <f>AR31*Assumptions!$C$59*AR37/12*(1+Assumptions!$C$67)</f>
        <v>17.41770398945391</v>
      </c>
      <c r="AS40" s="34">
        <f>AS31*Assumptions!$C$59*AS37/12*(1+Assumptions!$C$67)</f>
        <v>17.737294888342976</v>
      </c>
      <c r="AT40" s="34">
        <f>AT31*Assumptions!$C$59*AT37/12*(1+Assumptions!$C$67)</f>
        <v>18.056885787232037</v>
      </c>
      <c r="AU40" s="34">
        <f>AU31*Assumptions!$C$59*AU37/12*(1+Assumptions!$C$67)</f>
        <v>18.376476686121098</v>
      </c>
      <c r="AV40" s="34">
        <f>AV31*Assumptions!$C$59*AV37/12*(1+Assumptions!$C$67)</f>
        <v>18.696067585010162</v>
      </c>
      <c r="AW40" s="34">
        <f>AW31*Assumptions!$C$59*AW37/12*(1+Assumptions!$C$67)</f>
        <v>19.015658483899223</v>
      </c>
      <c r="AX40" s="34">
        <f>AX31*Assumptions!$C$59*AX37/12*(1+Assumptions!$C$67)</f>
        <v>19.335249382788287</v>
      </c>
      <c r="AY40" s="34">
        <f>AY31*Assumptions!$C$59*AY37/12*(1+Assumptions!$C$67)</f>
        <v>19.65484028167735</v>
      </c>
      <c r="AZ40" s="34">
        <f>AZ31*Assumptions!$C$59*AZ37/12*(1+Assumptions!$C$67)</f>
        <v>19.974431180566413</v>
      </c>
      <c r="BA40" s="34">
        <f>BA31*Assumptions!$C$59*BA37/12*(1+Assumptions!$C$67)</f>
        <v>20.294022079455473</v>
      </c>
      <c r="BB40" s="34">
        <f>BB31*Assumptions!$C$59*BB37/12*(1+Assumptions!$C$67)</f>
        <v>20.613612978344538</v>
      </c>
      <c r="BC40" s="34">
        <f>BC31*Assumptions!$C$59*BC37/12*(1+Assumptions!$C$67)</f>
        <v>20.933203877233602</v>
      </c>
    </row>
    <row r="41">
      <c r="A41" s="4" t="inlineStr">
        <is>
          <t>Payroll: Customer &amp; installer support</t>
        </is>
      </c>
      <c r="B41" s="2" t="inlineStr">
        <is>
          <t>₹ lakh</t>
        </is>
      </c>
      <c r="C41" s="34">
        <f>C32*Assumptions!$C$60*C37/12*(1+Assumptions!$C$67)</f>
        <v>0.23625</v>
      </c>
      <c r="D41" s="34">
        <f>D32*Assumptions!$C$60*D37/12*(1+Assumptions!$C$67)</f>
        <v>0.315</v>
      </c>
      <c r="E41" s="34">
        <f>E32*Assumptions!$C$60*E37/12*(1+Assumptions!$C$67)</f>
        <v>0.39375000000000004</v>
      </c>
      <c r="F41" s="34">
        <f>F32*Assumptions!$C$60*F37/12*(1+Assumptions!$C$67)</f>
        <v>0.4725</v>
      </c>
      <c r="G41" s="34">
        <f>G32*Assumptions!$C$60*G37/12*(1+Assumptions!$C$67)</f>
        <v>0.55125</v>
      </c>
      <c r="H41" s="34">
        <f>H32*Assumptions!$C$60*H37/12*(1+Assumptions!$C$67)</f>
        <v>1.02826171875</v>
      </c>
      <c r="I41" s="34">
        <f>I32*Assumptions!$C$60*I37/12*(1+Assumptions!$C$67)</f>
        <v>1.1105226562500001</v>
      </c>
      <c r="J41" s="34">
        <f>J32*Assumptions!$C$60*J37/12*(1+Assumptions!$C$67)</f>
        <v>1.1927835937499998</v>
      </c>
      <c r="K41" s="34">
        <f>K32*Assumptions!$C$60*K37/12*(1+Assumptions!$C$67)</f>
        <v>1.27504453125</v>
      </c>
      <c r="L41" s="34">
        <f>L32*Assumptions!$C$60*L37/12*(1+Assumptions!$C$67)</f>
        <v>1.3573054687500001</v>
      </c>
      <c r="M41" s="34">
        <f>M32*Assumptions!$C$60*M37/12*(1+Assumptions!$C$67)</f>
        <v>1.43956640625</v>
      </c>
      <c r="N41" s="34">
        <f>N32*Assumptions!$C$60*N37/12*(1+Assumptions!$C$67)</f>
        <v>1.5218273437500003</v>
      </c>
      <c r="O41" s="34">
        <f>O32*Assumptions!$C$60*O37/12*(1+Assumptions!$C$67)</f>
        <v>1.6040882812499997</v>
      </c>
      <c r="P41" s="34">
        <f>P32*Assumptions!$C$60*P37/12*(1+Assumptions!$C$67)</f>
        <v>1.68634921875</v>
      </c>
      <c r="Q41" s="34">
        <f>Q32*Assumptions!$C$60*Q37/12*(1+Assumptions!$C$67)</f>
        <v>1.7686101562500005</v>
      </c>
      <c r="R41" s="34">
        <f>R32*Assumptions!$C$60*R37/12*(1+Assumptions!$C$67)</f>
        <v>1.8508710937500004</v>
      </c>
      <c r="S41" s="34">
        <f>S32*Assumptions!$C$60*S37/12*(1+Assumptions!$C$67)</f>
        <v>1.93313203125</v>
      </c>
      <c r="T41" s="34">
        <f>T32*Assumptions!$C$60*T37/12*(1+Assumptions!$C$67)</f>
        <v>2.4881877070312504</v>
      </c>
      <c r="U41" s="34">
        <f>U32*Assumptions!$C$60*U37/12*(1+Assumptions!$C$67)</f>
        <v>2.62268433984375</v>
      </c>
      <c r="V41" s="34">
        <f>V32*Assumptions!$C$60*V37/12*(1+Assumptions!$C$67)</f>
        <v>2.75718097265625</v>
      </c>
      <c r="W41" s="34">
        <f>W32*Assumptions!$C$60*W37/12*(1+Assumptions!$C$67)</f>
        <v>2.8916776054687503</v>
      </c>
      <c r="X41" s="34">
        <f>X32*Assumptions!$C$60*X37/12*(1+Assumptions!$C$67)</f>
        <v>3.0261742382812504</v>
      </c>
      <c r="Y41" s="34">
        <f>Y32*Assumptions!$C$60*Y37/12*(1+Assumptions!$C$67)</f>
        <v>3.1606708710937506</v>
      </c>
      <c r="Z41" s="34">
        <f>Z32*Assumptions!$C$60*Z37/12*(1+Assumptions!$C$67)</f>
        <v>3.2951675039062502</v>
      </c>
      <c r="AA41" s="34">
        <f>AA32*Assumptions!$C$60*AA37/12*(1+Assumptions!$C$67)</f>
        <v>3.429664136718751</v>
      </c>
      <c r="AB41" s="34">
        <f>AB32*Assumptions!$C$60*AB37/12*(1+Assumptions!$C$67)</f>
        <v>3.5641607695312505</v>
      </c>
      <c r="AC41" s="34">
        <f>AC32*Assumptions!$C$60*AC37/12*(1+Assumptions!$C$67)</f>
        <v>3.6986574023437497</v>
      </c>
      <c r="AD41" s="34">
        <f>AD32*Assumptions!$C$60*AD37/12*(1+Assumptions!$C$67)</f>
        <v>3.83315403515625</v>
      </c>
      <c r="AE41" s="34">
        <f>AE32*Assumptions!$C$60*AE37/12*(1+Assumptions!$C$67)</f>
        <v>3.9676506679687504</v>
      </c>
      <c r="AF41" s="34">
        <f>AF32*Assumptions!$C$60*AF37/12*(1+Assumptions!$C$67)</f>
        <v>4.471340557851563</v>
      </c>
      <c r="AG41" s="34">
        <f>AG32*Assumptions!$C$60*AG37/12*(1+Assumptions!$C$67)</f>
        <v>4.617941887617188</v>
      </c>
      <c r="AH41" s="34">
        <f>AH32*Assumptions!$C$60*AH37/12*(1+Assumptions!$C$67)</f>
        <v>4.764543217382814</v>
      </c>
      <c r="AI41" s="34">
        <f>AI32*Assumptions!$C$60*AI37/12*(1+Assumptions!$C$67)</f>
        <v>4.911144547148438</v>
      </c>
      <c r="AJ41" s="34">
        <f>AJ32*Assumptions!$C$60*AJ37/12*(1+Assumptions!$C$67)</f>
        <v>5.057745876914063</v>
      </c>
      <c r="AK41" s="34">
        <f>AK32*Assumptions!$C$60*AK37/12*(1+Assumptions!$C$67)</f>
        <v>5.204347206679689</v>
      </c>
      <c r="AL41" s="34">
        <f>AL32*Assumptions!$C$60*AL37/12*(1+Assumptions!$C$67)</f>
        <v>5.350948536445313</v>
      </c>
      <c r="AM41" s="34">
        <f>AM32*Assumptions!$C$60*AM37/12*(1+Assumptions!$C$67)</f>
        <v>5.497549866210939</v>
      </c>
      <c r="AN41" s="34">
        <f>AN32*Assumptions!$C$60*AN37/12*(1+Assumptions!$C$67)</f>
        <v>5.644151195976564</v>
      </c>
      <c r="AO41" s="34">
        <f>AO32*Assumptions!$C$60*AO37/12*(1+Assumptions!$C$67)</f>
        <v>5.790752525742188</v>
      </c>
      <c r="AP41" s="34">
        <f>AP32*Assumptions!$C$60*AP37/12*(1+Assumptions!$C$67)</f>
        <v>5.937353855507813</v>
      </c>
      <c r="AQ41" s="34">
        <f>AQ32*Assumptions!$C$60*AQ37/12*(1+Assumptions!$C$67)</f>
        <v>6.083955185273439</v>
      </c>
      <c r="AR41" s="34">
        <f>AR32*Assumptions!$C$60*AR37/12*(1+Assumptions!$C$67)</f>
        <v>6.791306601392581</v>
      </c>
      <c r="AS41" s="34">
        <f>AS32*Assumptions!$C$60*AS37/12*(1+Assumptions!$C$67)</f>
        <v>6.951102050837112</v>
      </c>
      <c r="AT41" s="34">
        <f>AT32*Assumptions!$C$60*AT37/12*(1+Assumptions!$C$67)</f>
        <v>7.110897500281643</v>
      </c>
      <c r="AU41" s="34">
        <f>AU32*Assumptions!$C$60*AU37/12*(1+Assumptions!$C$67)</f>
        <v>7.2706929497261745</v>
      </c>
      <c r="AV41" s="34">
        <f>AV32*Assumptions!$C$60*AV37/12*(1+Assumptions!$C$67)</f>
        <v>7.430488399170706</v>
      </c>
      <c r="AW41" s="34">
        <f>AW32*Assumptions!$C$60*AW37/12*(1+Assumptions!$C$67)</f>
        <v>7.590283848615236</v>
      </c>
      <c r="AX41" s="34">
        <f>AX32*Assumptions!$C$60*AX37/12*(1+Assumptions!$C$67)</f>
        <v>7.7500792980597675</v>
      </c>
      <c r="AY41" s="34">
        <f>AY32*Assumptions!$C$60*AY37/12*(1+Assumptions!$C$67)</f>
        <v>7.9098747475043</v>
      </c>
      <c r="AZ41" s="34">
        <f>AZ32*Assumptions!$C$60*AZ37/12*(1+Assumptions!$C$67)</f>
        <v>8.069670196948831</v>
      </c>
      <c r="BA41" s="34">
        <f>BA32*Assumptions!$C$60*BA37/12*(1+Assumptions!$C$67)</f>
        <v>8.229465646393363</v>
      </c>
      <c r="BB41" s="34">
        <f>BB32*Assumptions!$C$60*BB37/12*(1+Assumptions!$C$67)</f>
        <v>8.389261095837892</v>
      </c>
      <c r="BC41" s="34">
        <f>BC32*Assumptions!$C$60*BC37/12*(1+Assumptions!$C$67)</f>
        <v>8.549056545282426</v>
      </c>
    </row>
    <row r="42">
      <c r="A42" s="4" t="inlineStr">
        <is>
          <t>Payroll: State / DISCOM sales</t>
        </is>
      </c>
      <c r="B42" s="2" t="inlineStr">
        <is>
          <t>₹ lakh</t>
        </is>
      </c>
      <c r="C42" s="34">
        <f>C33*Assumptions!$C$61*C37/12*(1+Assumptions!$C$67)</f>
        <v>0.0</v>
      </c>
      <c r="D42" s="34">
        <f>D33*Assumptions!$C$61*D37/12*(1+Assumptions!$C$67)</f>
        <v>0.0</v>
      </c>
      <c r="E42" s="34">
        <f>E33*Assumptions!$C$61*E37/12*(1+Assumptions!$C$67)</f>
        <v>0.0</v>
      </c>
      <c r="F42" s="34">
        <f>F33*Assumptions!$C$61*F37/12*(1+Assumptions!$C$67)</f>
        <v>0.0</v>
      </c>
      <c r="G42" s="34">
        <f>G33*Assumptions!$C$61*G37/12*(1+Assumptions!$C$67)</f>
        <v>0.0</v>
      </c>
      <c r="H42" s="34">
        <f>H33*Assumptions!$C$61*H37/12*(1+Assumptions!$C$67)</f>
        <v>1.42585625</v>
      </c>
      <c r="I42" s="34">
        <f>I33*Assumptions!$C$61*I37/12*(1+Assumptions!$C$67)</f>
        <v>1.6452187500000004</v>
      </c>
      <c r="J42" s="34">
        <f>J33*Assumptions!$C$61*J37/12*(1+Assumptions!$C$67)</f>
        <v>1.86458125</v>
      </c>
      <c r="K42" s="34">
        <f>K33*Assumptions!$C$61*K37/12*(1+Assumptions!$C$67)</f>
        <v>2.08394375</v>
      </c>
      <c r="L42" s="34">
        <f>L33*Assumptions!$C$61*L37/12*(1+Assumptions!$C$67)</f>
        <v>2.30330625</v>
      </c>
      <c r="M42" s="34">
        <f>M33*Assumptions!$C$61*M37/12*(1+Assumptions!$C$67)</f>
        <v>2.52266875</v>
      </c>
      <c r="N42" s="34">
        <f>N33*Assumptions!$C$61*N37/12*(1+Assumptions!$C$67)</f>
        <v>2.7420312500000006</v>
      </c>
      <c r="O42" s="34">
        <f>O33*Assumptions!$C$61*O37/12*(1+Assumptions!$C$67)</f>
        <v>2.96139375</v>
      </c>
      <c r="P42" s="34">
        <f>P33*Assumptions!$C$61*P37/12*(1+Assumptions!$C$67)</f>
        <v>3.1807562499999995</v>
      </c>
      <c r="Q42" s="34">
        <f>Q33*Assumptions!$C$61*Q37/12*(1+Assumptions!$C$67)</f>
        <v>3.40011875</v>
      </c>
      <c r="R42" s="34">
        <f>R33*Assumptions!$C$61*R37/12*(1+Assumptions!$C$67)</f>
        <v>3.6194812499999998</v>
      </c>
      <c r="S42" s="34">
        <f>S33*Assumptions!$C$61*S37/12*(1+Assumptions!$C$67)</f>
        <v>3.83884375</v>
      </c>
      <c r="T42" s="34">
        <f>T33*Assumptions!$C$61*T37/12*(1+Assumptions!$C$67)</f>
        <v>4.4234448125000005</v>
      </c>
      <c r="U42" s="34">
        <f>U33*Assumptions!$C$61*U37/12*(1+Assumptions!$C$67)</f>
        <v>4.6625499375</v>
      </c>
      <c r="V42" s="34">
        <f>V33*Assumptions!$C$61*V37/12*(1+Assumptions!$C$67)</f>
        <v>4.9016550625</v>
      </c>
      <c r="W42" s="34">
        <f>W33*Assumptions!$C$61*W37/12*(1+Assumptions!$C$67)</f>
        <v>5.1407601875000015</v>
      </c>
      <c r="X42" s="34">
        <f>X33*Assumptions!$C$61*X37/12*(1+Assumptions!$C$67)</f>
        <v>5.379865312500001</v>
      </c>
      <c r="Y42" s="34">
        <f>Y33*Assumptions!$C$61*Y37/12*(1+Assumptions!$C$67)</f>
        <v>5.618970437500001</v>
      </c>
      <c r="Z42" s="34">
        <f>Z33*Assumptions!$C$61*Z37/12*(1+Assumptions!$C$67)</f>
        <v>5.858075562500001</v>
      </c>
      <c r="AA42" s="34">
        <f>AA33*Assumptions!$C$61*AA37/12*(1+Assumptions!$C$67)</f>
        <v>6.0971806875</v>
      </c>
      <c r="AB42" s="34">
        <f>AB33*Assumptions!$C$61*AB37/12*(1+Assumptions!$C$67)</f>
        <v>6.336285812500001</v>
      </c>
      <c r="AC42" s="34">
        <f>AC33*Assumptions!$C$61*AC37/12*(1+Assumptions!$C$67)</f>
        <v>6.5753909375</v>
      </c>
      <c r="AD42" s="34">
        <f>AD33*Assumptions!$C$61*AD37/12*(1+Assumptions!$C$67)</f>
        <v>6.814496062500001</v>
      </c>
      <c r="AE42" s="34">
        <f>AE33*Assumptions!$C$61*AE37/12*(1+Assumptions!$C$67)</f>
        <v>7.053601187500001</v>
      </c>
      <c r="AF42" s="34">
        <f>AF33*Assumptions!$C$61*AF37/12*(1+Assumptions!$C$67)</f>
        <v>7.949049880625001</v>
      </c>
      <c r="AG42" s="34">
        <f>AG33*Assumptions!$C$61*AG37/12*(1+Assumptions!$C$67)</f>
        <v>8.209674466875</v>
      </c>
      <c r="AH42" s="34">
        <f>AH33*Assumptions!$C$61*AH37/12*(1+Assumptions!$C$67)</f>
        <v>8.470299053125002</v>
      </c>
      <c r="AI42" s="34">
        <f>AI33*Assumptions!$C$61*AI37/12*(1+Assumptions!$C$67)</f>
        <v>8.730923639375</v>
      </c>
      <c r="AJ42" s="34">
        <f>AJ33*Assumptions!$C$61*AJ37/12*(1+Assumptions!$C$67)</f>
        <v>8.991548225625001</v>
      </c>
      <c r="AK42" s="34">
        <f>AK33*Assumptions!$C$61*AK37/12*(1+Assumptions!$C$67)</f>
        <v>9.252172811875</v>
      </c>
      <c r="AL42" s="34">
        <f>AL33*Assumptions!$C$61*AL37/12*(1+Assumptions!$C$67)</f>
        <v>9.512797398125</v>
      </c>
      <c r="AM42" s="34">
        <f>AM33*Assumptions!$C$61*AM37/12*(1+Assumptions!$C$67)</f>
        <v>9.773421984375</v>
      </c>
      <c r="AN42" s="34">
        <f>AN33*Assumptions!$C$61*AN37/12*(1+Assumptions!$C$67)</f>
        <v>10.034046570625001</v>
      </c>
      <c r="AO42" s="34">
        <f>AO33*Assumptions!$C$61*AO37/12*(1+Assumptions!$C$67)</f>
        <v>10.294671156875001</v>
      </c>
      <c r="AP42" s="34">
        <f>AP33*Assumptions!$C$61*AP37/12*(1+Assumptions!$C$67)</f>
        <v>10.555295743125</v>
      </c>
      <c r="AQ42" s="34">
        <f>AQ33*Assumptions!$C$61*AQ37/12*(1+Assumptions!$C$67)</f>
        <v>10.815920329375002</v>
      </c>
      <c r="AR42" s="34">
        <f>AR33*Assumptions!$C$61*AR37/12*(1+Assumptions!$C$67)</f>
        <v>12.073433958031254</v>
      </c>
      <c r="AS42" s="34">
        <f>AS33*Assumptions!$C$61*AS37/12*(1+Assumptions!$C$67)</f>
        <v>12.357514757043752</v>
      </c>
      <c r="AT42" s="34">
        <f>AT33*Assumptions!$C$61*AT37/12*(1+Assumptions!$C$67)</f>
        <v>12.641595556056256</v>
      </c>
      <c r="AU42" s="34">
        <f>AU33*Assumptions!$C$61*AU37/12*(1+Assumptions!$C$67)</f>
        <v>12.925676355068752</v>
      </c>
      <c r="AV42" s="34">
        <f>AV33*Assumptions!$C$61*AV37/12*(1+Assumptions!$C$67)</f>
        <v>13.209757154081252</v>
      </c>
      <c r="AW42" s="34">
        <f>AW33*Assumptions!$C$61*AW37/12*(1+Assumptions!$C$67)</f>
        <v>13.493837953093756</v>
      </c>
      <c r="AX42" s="34">
        <f>AX33*Assumptions!$C$61*AX37/12*(1+Assumptions!$C$67)</f>
        <v>13.777918752106254</v>
      </c>
      <c r="AY42" s="34">
        <f>AY33*Assumptions!$C$61*AY37/12*(1+Assumptions!$C$67)</f>
        <v>14.061999551118754</v>
      </c>
      <c r="AZ42" s="34">
        <f>AZ33*Assumptions!$C$61*AZ37/12*(1+Assumptions!$C$67)</f>
        <v>14.346080350131253</v>
      </c>
      <c r="BA42" s="34">
        <f>BA33*Assumptions!$C$61*BA37/12*(1+Assumptions!$C$67)</f>
        <v>14.630161149143756</v>
      </c>
      <c r="BB42" s="34">
        <f>BB33*Assumptions!$C$61*BB37/12*(1+Assumptions!$C$67)</f>
        <v>14.914241948156254</v>
      </c>
      <c r="BC42" s="34">
        <f>BC33*Assumptions!$C$61*BC37/12*(1+Assumptions!$C$67)</f>
        <v>15.198322747168753</v>
      </c>
    </row>
    <row r="43">
      <c r="A43" s="4" t="inlineStr">
        <is>
          <t>Payroll: G&amp;A (founder-CEO, finance, HR, legal)</t>
        </is>
      </c>
      <c r="B43" s="2" t="inlineStr">
        <is>
          <t>₹ lakh</t>
        </is>
      </c>
      <c r="C43" s="34">
        <f>C34*Assumptions!$C$62*C37/12*(1+Assumptions!$C$67)</f>
        <v>1.3125</v>
      </c>
      <c r="D43" s="34">
        <f>D34*Assumptions!$C$62*D37/12*(1+Assumptions!$C$67)</f>
        <v>1.3125</v>
      </c>
      <c r="E43" s="34">
        <f>E34*Assumptions!$C$62*E37/12*(1+Assumptions!$C$67)</f>
        <v>1.3125</v>
      </c>
      <c r="F43" s="34">
        <f>F34*Assumptions!$C$62*F37/12*(1+Assumptions!$C$67)</f>
        <v>1.3125</v>
      </c>
      <c r="G43" s="34">
        <f>G34*Assumptions!$C$62*G37/12*(1+Assumptions!$C$67)</f>
        <v>1.3125</v>
      </c>
      <c r="H43" s="34">
        <f>H34*Assumptions!$C$62*H37/12*(1+Assumptions!$C$67)</f>
        <v>2.53637890625</v>
      </c>
      <c r="I43" s="34">
        <f>I34*Assumptions!$C$62*I37/12*(1+Assumptions!$C$67)</f>
        <v>2.6734804687500002</v>
      </c>
      <c r="J43" s="34">
        <f>J34*Assumptions!$C$62*J37/12*(1+Assumptions!$C$67)</f>
        <v>2.8105820312499996</v>
      </c>
      <c r="K43" s="34">
        <f>K34*Assumptions!$C$62*K37/12*(1+Assumptions!$C$67)</f>
        <v>2.94768359375</v>
      </c>
      <c r="L43" s="34">
        <f>L34*Assumptions!$C$62*L37/12*(1+Assumptions!$C$67)</f>
        <v>3.08478515625</v>
      </c>
      <c r="M43" s="34">
        <f>M34*Assumptions!$C$62*M37/12*(1+Assumptions!$C$67)</f>
        <v>3.2218867187500004</v>
      </c>
      <c r="N43" s="34">
        <f>N34*Assumptions!$C$62*N37/12*(1+Assumptions!$C$67)</f>
        <v>3.3589882812500003</v>
      </c>
      <c r="O43" s="34">
        <f>O34*Assumptions!$C$62*O37/12*(1+Assumptions!$C$67)</f>
        <v>3.49608984375</v>
      </c>
      <c r="P43" s="34">
        <f>P34*Assumptions!$C$62*P37/12*(1+Assumptions!$C$67)</f>
        <v>3.6331914062500004</v>
      </c>
      <c r="Q43" s="34">
        <f>Q34*Assumptions!$C$62*Q37/12*(1+Assumptions!$C$67)</f>
        <v>3.7702929687499998</v>
      </c>
      <c r="R43" s="34">
        <f>R34*Assumptions!$C$62*R37/12*(1+Assumptions!$C$67)</f>
        <v>3.9073945312499996</v>
      </c>
      <c r="S43" s="34">
        <f>S34*Assumptions!$C$62*S37/12*(1+Assumptions!$C$67)</f>
        <v>4.04449609375</v>
      </c>
      <c r="T43" s="34">
        <f>T34*Assumptions!$C$62*T37/12*(1+Assumptions!$C$67)</f>
        <v>5.529306015625001</v>
      </c>
      <c r="U43" s="34">
        <f>U34*Assumptions!$C$62*U37/12*(1+Assumptions!$C$67)</f>
        <v>5.828187421875001</v>
      </c>
      <c r="V43" s="34">
        <f>V34*Assumptions!$C$62*V37/12*(1+Assumptions!$C$67)</f>
        <v>6.127068828125001</v>
      </c>
      <c r="W43" s="34">
        <f>W34*Assumptions!$C$62*W37/12*(1+Assumptions!$C$67)</f>
        <v>6.4259502343750015</v>
      </c>
      <c r="X43" s="34">
        <f>X34*Assumptions!$C$62*X37/12*(1+Assumptions!$C$67)</f>
        <v>6.724831640625001</v>
      </c>
      <c r="Y43" s="34">
        <f>Y34*Assumptions!$C$62*Y37/12*(1+Assumptions!$C$67)</f>
        <v>7.0237130468750015</v>
      </c>
      <c r="Z43" s="34">
        <f>Z34*Assumptions!$C$62*Z37/12*(1+Assumptions!$C$67)</f>
        <v>7.322594453125001</v>
      </c>
      <c r="AA43" s="34">
        <f>AA34*Assumptions!$C$62*AA37/12*(1+Assumptions!$C$67)</f>
        <v>7.621475859375001</v>
      </c>
      <c r="AB43" s="34">
        <f>AB34*Assumptions!$C$62*AB37/12*(1+Assumptions!$C$67)</f>
        <v>7.920357265625001</v>
      </c>
      <c r="AC43" s="34">
        <f>AC34*Assumptions!$C$62*AC37/12*(1+Assumptions!$C$67)</f>
        <v>8.219238671875</v>
      </c>
      <c r="AD43" s="34">
        <f>AD34*Assumptions!$C$62*AD37/12*(1+Assumptions!$C$67)</f>
        <v>8.518120078125001</v>
      </c>
      <c r="AE43" s="34">
        <f>AE34*Assumptions!$C$62*AE37/12*(1+Assumptions!$C$67)</f>
        <v>8.817001484375002</v>
      </c>
      <c r="AF43" s="34">
        <f>AF34*Assumptions!$C$62*AF37/12*(1+Assumptions!$C$67)</f>
        <v>9.93631235078125</v>
      </c>
      <c r="AG43" s="34">
        <f>AG34*Assumptions!$C$62*AG37/12*(1+Assumptions!$C$67)</f>
        <v>10.262093083593752</v>
      </c>
      <c r="AH43" s="34">
        <f>AH34*Assumptions!$C$62*AH37/12*(1+Assumptions!$C$67)</f>
        <v>10.587873816406253</v>
      </c>
      <c r="AI43" s="34">
        <f>AI34*Assumptions!$C$62*AI37/12*(1+Assumptions!$C$67)</f>
        <v>10.913654549218752</v>
      </c>
      <c r="AJ43" s="34">
        <f>AJ34*Assumptions!$C$62*AJ37/12*(1+Assumptions!$C$67)</f>
        <v>11.239435282031252</v>
      </c>
      <c r="AK43" s="34">
        <f>AK34*Assumptions!$C$62*AK37/12*(1+Assumptions!$C$67)</f>
        <v>11.565216014843752</v>
      </c>
      <c r="AL43" s="34">
        <f>AL34*Assumptions!$C$62*AL37/12*(1+Assumptions!$C$67)</f>
        <v>11.890996747656251</v>
      </c>
      <c r="AM43" s="34">
        <f>AM34*Assumptions!$C$62*AM37/12*(1+Assumptions!$C$67)</f>
        <v>12.21677748046875</v>
      </c>
      <c r="AN43" s="34">
        <f>AN34*Assumptions!$C$62*AN37/12*(1+Assumptions!$C$67)</f>
        <v>12.542558213281252</v>
      </c>
      <c r="AO43" s="34">
        <f>AO34*Assumptions!$C$62*AO37/12*(1+Assumptions!$C$67)</f>
        <v>12.86833894609375</v>
      </c>
      <c r="AP43" s="34">
        <f>AP34*Assumptions!$C$62*AP37/12*(1+Assumptions!$C$67)</f>
        <v>13.194119678906251</v>
      </c>
      <c r="AQ43" s="34">
        <f>AQ34*Assumptions!$C$62*AQ37/12*(1+Assumptions!$C$67)</f>
        <v>13.519900411718751</v>
      </c>
      <c r="AR43" s="34">
        <f>AR34*Assumptions!$C$62*AR37/12*(1+Assumptions!$C$67)</f>
        <v>15.091792447539069</v>
      </c>
      <c r="AS43" s="34">
        <f>AS34*Assumptions!$C$62*AS37/12*(1+Assumptions!$C$67)</f>
        <v>15.446893446304689</v>
      </c>
      <c r="AT43" s="34">
        <f>AT34*Assumptions!$C$62*AT37/12*(1+Assumptions!$C$67)</f>
        <v>15.801994445070317</v>
      </c>
      <c r="AU43" s="34">
        <f>AU34*Assumptions!$C$62*AU37/12*(1+Assumptions!$C$67)</f>
        <v>16.157095443835942</v>
      </c>
      <c r="AV43" s="34">
        <f>AV34*Assumptions!$C$62*AV37/12*(1+Assumptions!$C$67)</f>
        <v>16.51219644260157</v>
      </c>
      <c r="AW43" s="34">
        <f>AW34*Assumptions!$C$62*AW37/12*(1+Assumptions!$C$67)</f>
        <v>16.867297441367192</v>
      </c>
      <c r="AX43" s="34">
        <f>AX34*Assumptions!$C$62*AX37/12*(1+Assumptions!$C$67)</f>
        <v>17.22239844013282</v>
      </c>
      <c r="AY43" s="34">
        <f>AY34*Assumptions!$C$62*AY37/12*(1+Assumptions!$C$67)</f>
        <v>17.577499438898442</v>
      </c>
      <c r="AZ43" s="34">
        <f>AZ34*Assumptions!$C$62*AZ37/12*(1+Assumptions!$C$67)</f>
        <v>17.932600437664068</v>
      </c>
      <c r="BA43" s="34">
        <f>BA34*Assumptions!$C$62*BA37/12*(1+Assumptions!$C$67)</f>
        <v>18.287701436429693</v>
      </c>
      <c r="BB43" s="34">
        <f>BB34*Assumptions!$C$62*BB37/12*(1+Assumptions!$C$67)</f>
        <v>18.64280243519532</v>
      </c>
      <c r="BC43" s="34">
        <f>BC34*Assumptions!$C$62*BC37/12*(1+Assumptions!$C$67)</f>
        <v>18.99790343396094</v>
      </c>
    </row>
    <row r="44">
      <c r="A44" s="4" t="inlineStr">
        <is>
          <t>Payroll: lead-verification callers</t>
        </is>
      </c>
      <c r="B44" s="2" t="inlineStr">
        <is>
          <t>₹ lakh</t>
        </is>
      </c>
      <c r="C44" s="34">
        <f>C35*Assumptions!$C$63*C37/12*(1+Assumptions!$C$67)</f>
        <v>0.1512</v>
      </c>
      <c r="D44" s="34">
        <f>D35*Assumptions!$C$63*D37/12*(1+Assumptions!$C$67)</f>
        <v>0.2646</v>
      </c>
      <c r="E44" s="34">
        <f>E35*Assumptions!$C$63*E37/12*(1+Assumptions!$C$67)</f>
        <v>0.37800000000000006</v>
      </c>
      <c r="F44" s="34">
        <f>F35*Assumptions!$C$63*F37/12*(1+Assumptions!$C$67)</f>
        <v>0.49140000000000006</v>
      </c>
      <c r="G44" s="34">
        <f>G35*Assumptions!$C$63*G37/12*(1+Assumptions!$C$67)</f>
        <v>0.6048</v>
      </c>
      <c r="H44" s="34">
        <f>H35*Assumptions!$C$63*H37/12*(1+Assumptions!$C$67)</f>
        <v>0.752010695532745</v>
      </c>
      <c r="I44" s="34">
        <f>I35*Assumptions!$C$63*I37/12*(1+Assumptions!$C$67)</f>
        <v>0.8578468372221524</v>
      </c>
      <c r="J44" s="34">
        <f>J35*Assumptions!$C$63*J37/12*(1+Assumptions!$C$67)</f>
        <v>0.978578098029203</v>
      </c>
      <c r="K44" s="34">
        <f>K35*Assumptions!$C$63*K37/12*(1+Assumptions!$C$67)</f>
        <v>1.1163007805022283</v>
      </c>
      <c r="L44" s="34">
        <f>L35*Assumptions!$C$63*L37/12*(1+Assumptions!$C$67)</f>
        <v>1.2734062156709818</v>
      </c>
      <c r="M44" s="34">
        <f>M35*Assumptions!$C$63*M37/12*(1+Assumptions!$C$67)</f>
        <v>1.4526222846318897</v>
      </c>
      <c r="N44" s="34">
        <f>N35*Assumptions!$C$63*N37/12*(1+Assumptions!$C$67)</f>
        <v>1.657060783779278</v>
      </c>
      <c r="O44" s="34">
        <f>O35*Assumptions!$C$63*O37/12*(1+Assumptions!$C$67)</f>
        <v>1.8902714561032736</v>
      </c>
      <c r="P44" s="34">
        <f>P35*Assumptions!$C$63*P37/12*(1+Assumptions!$C$67)</f>
        <v>2.156303626720036</v>
      </c>
      <c r="Q44" s="34">
        <f>Q35*Assumptions!$C$63*Q37/12*(1+Assumptions!$C$67)</f>
        <v>2.459776512835385</v>
      </c>
      <c r="R44" s="34">
        <f>R35*Assumptions!$C$63*R37/12*(1+Assumptions!$C$67)</f>
        <v>2.8059594289604135</v>
      </c>
      <c r="S44" s="34">
        <f>S35*Assumptions!$C$63*S37/12*(1+Assumptions!$C$67)</f>
        <v>3.2008632800124373</v>
      </c>
      <c r="T44" s="34">
        <f>T35*Assumptions!$C$63*T37/12*(1+Assumptions!$C$67)</f>
        <v>3.73762484849558</v>
      </c>
      <c r="U44" s="34">
        <f>U35*Assumptions!$C$63*U37/12*(1+Assumptions!$C$67)</f>
        <v>4.004034349488098</v>
      </c>
      <c r="V44" s="34">
        <f>V35*Assumptions!$C$63*V37/12*(1+Assumptions!$C$67)</f>
        <v>4.289432921105996</v>
      </c>
      <c r="W44" s="34">
        <f>W35*Assumptions!$C$63*W37/12*(1+Assumptions!$C$67)</f>
        <v>4.595174061636116</v>
      </c>
      <c r="X44" s="34">
        <f>X35*Assumptions!$C$63*X37/12*(1+Assumptions!$C$67)</f>
        <v>4.922707743682066</v>
      </c>
      <c r="Y44" s="34">
        <f>Y35*Assumptions!$C$63*Y37/12*(1+Assumptions!$C$67)</f>
        <v>5.273587290636633</v>
      </c>
      <c r="Z44" s="34">
        <f>Z35*Assumptions!$C$63*Z37/12*(1+Assumptions!$C$67)</f>
        <v>5.649476743293868</v>
      </c>
      <c r="AA44" s="34">
        <f>AA35*Assumptions!$C$63*AA37/12*(1+Assumptions!$C$67)</f>
        <v>6.052158751536544</v>
      </c>
      <c r="AB44" s="34">
        <f>AB35*Assumptions!$C$63*AB37/12*(1+Assumptions!$C$67)</f>
        <v>6.483543028525494</v>
      </c>
      <c r="AC44" s="34">
        <f>AC35*Assumptions!$C$63*AC37/12*(1+Assumptions!$C$67)</f>
        <v>6.945675407484895</v>
      </c>
      <c r="AD44" s="34">
        <f>AD35*Assumptions!$C$63*AD37/12*(1+Assumptions!$C$67)</f>
        <v>7.440747544034132</v>
      </c>
      <c r="AE44" s="34">
        <f>AE35*Assumptions!$C$63*AE37/12*(1+Assumptions!$C$67)</f>
        <v>7.971107310080589</v>
      </c>
      <c r="AF44" s="34">
        <f>AF35*Assumptions!$C$63*AF37/12*(1+Assumptions!$C$67)</f>
        <v>9.189911748556861</v>
      </c>
      <c r="AG44" s="34">
        <f>AG35*Assumptions!$C$63*AG37/12*(1+Assumptions!$C$67)</f>
        <v>9.720252082139211</v>
      </c>
      <c r="AH44" s="34">
        <f>AH35*Assumptions!$C$63*AH37/12*(1+Assumptions!$C$67)</f>
        <v>10.281197809670777</v>
      </c>
      <c r="AI44" s="34">
        <f>AI35*Assumptions!$C$63*AI37/12*(1+Assumptions!$C$67)</f>
        <v>10.874515136886943</v>
      </c>
      <c r="AJ44" s="34">
        <f>AJ35*Assumptions!$C$63*AJ37/12*(1+Assumptions!$C$67)</f>
        <v>11.502072195435206</v>
      </c>
      <c r="AK44" s="34">
        <f>AK35*Assumptions!$C$63*AK37/12*(1+Assumptions!$C$67)</f>
        <v>12.16584492491458</v>
      </c>
      <c r="AL44" s="34">
        <f>AL35*Assumptions!$C$63*AL37/12*(1+Assumptions!$C$67)</f>
        <v>12.867923294361766</v>
      </c>
      <c r="AM44" s="34">
        <f>AM35*Assumptions!$C$63*AM37/12*(1+Assumptions!$C$67)</f>
        <v>13.610517882771628</v>
      </c>
      <c r="AN44" s="34">
        <f>AN35*Assumptions!$C$63*AN37/12*(1+Assumptions!$C$67)</f>
        <v>14.395966839374395</v>
      </c>
      <c r="AO44" s="34">
        <f>AO35*Assumptions!$C$63*AO37/12*(1+Assumptions!$C$67)</f>
        <v>15.226743245582238</v>
      </c>
      <c r="AP44" s="34">
        <f>AP35*Assumptions!$C$63*AP37/12*(1+Assumptions!$C$67)</f>
        <v>16.105462901785923</v>
      </c>
      <c r="AQ44" s="34">
        <f>AQ35*Assumptions!$C$63*AQ37/12*(1+Assumptions!$C$67)</f>
        <v>17.03489256352034</v>
      </c>
      <c r="AR44" s="34">
        <f>AR35*Assumptions!$C$63*AR37/12*(1+Assumptions!$C$67)</f>
        <v>19.076953963148267</v>
      </c>
      <c r="AS44" s="34">
        <f>AS35*Assumptions!$C$63*AS37/12*(1+Assumptions!$C$67)</f>
        <v>19.599823771587108</v>
      </c>
      <c r="AT44" s="34">
        <f>AT35*Assumptions!$C$63*AT37/12*(1+Assumptions!$C$67)</f>
        <v>20.137024632934416</v>
      </c>
      <c r="AU44" s="34">
        <f>AU35*Assumptions!$C$63*AU37/12*(1+Assumptions!$C$67)</f>
        <v>20.688949339189225</v>
      </c>
      <c r="AV44" s="34">
        <f>AV35*Assumptions!$C$63*AV37/12*(1+Assumptions!$C$67)</f>
        <v>21.256001448172594</v>
      </c>
      <c r="AW44" s="34">
        <f>AW35*Assumptions!$C$63*AW37/12*(1+Assumptions!$C$67)</f>
        <v>21.838595578600955</v>
      </c>
      <c r="AX44" s="34">
        <f>AX35*Assumptions!$C$63*AX37/12*(1+Assumptions!$C$67)</f>
        <v>22.437157713248546</v>
      </c>
      <c r="AY44" s="34">
        <f>AY35*Assumptions!$C$63*AY37/12*(1+Assumptions!$C$67)</f>
        <v>23.052125510418893</v>
      </c>
      <c r="AZ44" s="34">
        <f>AZ35*Assumptions!$C$63*AZ37/12*(1+Assumptions!$C$67)</f>
        <v>23.683948623952837</v>
      </c>
      <c r="BA44" s="34">
        <f>BA35*Assumptions!$C$63*BA37/12*(1+Assumptions!$C$67)</f>
        <v>24.333089032007447</v>
      </c>
      <c r="BB44" s="34">
        <f>BB35*Assumptions!$C$63*BB37/12*(1+Assumptions!$C$67)</f>
        <v>25.00002137484733</v>
      </c>
      <c r="BC44" s="34">
        <f>BC35*Assumptions!$C$63*BC37/12*(1+Assumptions!$C$67)</f>
        <v>25.685233301892207</v>
      </c>
    </row>
    <row r="45">
      <c r="A45" s="3" t="inlineStr">
        <is>
          <t>Total payroll</t>
        </is>
      </c>
      <c r="B45" s="2" t="inlineStr">
        <is>
          <t>₹ lakh</t>
        </is>
      </c>
      <c r="C45" s="35">
        <f>SUM(C38:C44)</f>
        <v>10.86995</v>
      </c>
      <c r="D45" s="35">
        <f>SUM(D38:D44)</f>
        <v>13.1271</v>
      </c>
      <c r="E45" s="35">
        <f>SUM(E38:E44)</f>
        <v>15.384250000000002</v>
      </c>
      <c r="F45" s="35">
        <f>SUM(F38:F44)</f>
        <v>17.641399999999997</v>
      </c>
      <c r="G45" s="35">
        <f>SUM(G38:G44)</f>
        <v>19.89855</v>
      </c>
      <c r="H45" s="35">
        <f>SUM(H38:H44)</f>
        <v>34.59324637261608</v>
      </c>
      <c r="I45" s="35">
        <f>SUM(I38:I44)</f>
        <v>37.01152886847216</v>
      </c>
      <c r="J45" s="35">
        <f>SUM(J38:J44)</f>
        <v>39.44470648344587</v>
      </c>
      <c r="K45" s="35">
        <f>SUM(K38:K44)</f>
        <v>41.89487552008557</v>
      </c>
      <c r="L45" s="35">
        <f>SUM(L38:L44)</f>
        <v>44.36442730942098</v>
      </c>
      <c r="M45" s="35">
        <f>SUM(M38:M44)</f>
        <v>46.85608973254856</v>
      </c>
      <c r="N45" s="35">
        <f>SUM(N38:N44)</f>
        <v>49.372974585862615</v>
      </c>
      <c r="O45" s="35">
        <f>SUM(O38:O44)</f>
        <v>51.91863161235327</v>
      </c>
      <c r="P45" s="35">
        <f>SUM(P38:P44)</f>
        <v>54.49711013713672</v>
      </c>
      <c r="Q45" s="35">
        <f>SUM(Q38:Q44)</f>
        <v>57.113029377418705</v>
      </c>
      <c r="R45" s="35">
        <f>SUM(R38:R44)</f>
        <v>59.77165864771041</v>
      </c>
      <c r="S45" s="35">
        <f>SUM(S38:S44)</f>
        <v>62.479008852929105</v>
      </c>
      <c r="T45" s="35">
        <f>SUM(T38:T44)</f>
        <v>72.06938635240185</v>
      </c>
      <c r="U45" s="35">
        <f>SUM(U38:U44)</f>
        <v>75.04067257995685</v>
      </c>
      <c r="V45" s="35">
        <f>SUM(V38:V44)</f>
        <v>78.03094787813727</v>
      </c>
      <c r="W45" s="35">
        <f>SUM(W38:W44)</f>
        <v>81.04156574522987</v>
      </c>
      <c r="X45" s="35">
        <f>SUM(X38:X44)</f>
        <v>84.07397615383833</v>
      </c>
      <c r="Y45" s="35">
        <f>SUM(Y38:Y44)</f>
        <v>87.12973242735538</v>
      </c>
      <c r="Z45" s="35">
        <f>SUM(Z38:Z44)</f>
        <v>90.21049860657514</v>
      </c>
      <c r="AA45" s="35">
        <f>SUM(AA38:AA44)</f>
        <v>93.31805734138031</v>
      </c>
      <c r="AB45" s="35">
        <f>SUM(AB38:AB44)</f>
        <v>96.45431834493175</v>
      </c>
      <c r="AC45" s="35">
        <f>SUM(AC38:AC44)</f>
        <v>99.62132745045366</v>
      </c>
      <c r="AD45" s="35">
        <f>SUM(AD38:AD44)</f>
        <v>102.82127631356539</v>
      </c>
      <c r="AE45" s="35">
        <f>SUM(AE38:AE44)</f>
        <v>106.05651280617434</v>
      </c>
      <c r="AF45" s="35">
        <f>SUM(AF38:AF44)</f>
        <v>117.5690170369553</v>
      </c>
      <c r="AG45" s="35">
        <f>SUM(AG38:AG44)</f>
        <v>120.81962648952205</v>
      </c>
      <c r="AH45" s="35">
        <f>SUM(AH38:AH44)</f>
        <v>124.10084133603799</v>
      </c>
      <c r="AI45" s="35">
        <f>SUM(AI38:AI44)</f>
        <v>127.41442778223852</v>
      </c>
      <c r="AJ45" s="35">
        <f>SUM(AJ38:AJ44)</f>
        <v>130.76225395977116</v>
      </c>
      <c r="AK45" s="35">
        <f>SUM(AK38:AK44)</f>
        <v>134.1462958082349</v>
      </c>
      <c r="AL45" s="35">
        <f>SUM(AL38:AL44)</f>
        <v>137.56864329666647</v>
      </c>
      <c r="AM45" s="35">
        <f>SUM(AM38:AM44)</f>
        <v>141.03150700406073</v>
      </c>
      <c r="AN45" s="35">
        <f>SUM(AN38:AN44)</f>
        <v>144.53722507964784</v>
      </c>
      <c r="AO45" s="35">
        <f>SUM(AO38:AO44)</f>
        <v>148.08827060484006</v>
      </c>
      <c r="AP45" s="35">
        <f>SUM(AP38:AP44)</f>
        <v>151.68725938002814</v>
      </c>
      <c r="AQ45" s="35">
        <f>SUM(AQ38:AQ44)</f>
        <v>155.33695816074695</v>
      </c>
      <c r="AR45" s="35">
        <f>SUM(AR38:AR44)</f>
        <v>172.79129880381822</v>
      </c>
      <c r="AS45" s="35">
        <f>SUM(AS38:AS44)</f>
        <v>176.27926195195005</v>
      </c>
      <c r="AT45" s="35">
        <f>SUM(AT38:AT44)</f>
        <v>179.7815561529903</v>
      </c>
      <c r="AU45" s="35">
        <f>SUM(AU38:AU44)</f>
        <v>183.29857419893813</v>
      </c>
      <c r="AV45" s="35">
        <f>SUM(AV38:AV44)</f>
        <v>186.83071964761442</v>
      </c>
      <c r="AW45" s="35">
        <f>SUM(AW38:AW44)</f>
        <v>190.37840711773575</v>
      </c>
      <c r="AX45" s="35">
        <f>SUM(AX38:AX44)</f>
        <v>193.94206259207633</v>
      </c>
      <c r="AY45" s="35">
        <f>SUM(AY38:AY44)</f>
        <v>197.52212372893965</v>
      </c>
      <c r="AZ45" s="35">
        <f>SUM(AZ38:AZ44)</f>
        <v>201.11904018216654</v>
      </c>
      <c r="BA45" s="35">
        <f>SUM(BA38:BA44)</f>
        <v>204.73327392991413</v>
      </c>
      <c r="BB45" s="35">
        <f>SUM(BB38:BB44)</f>
        <v>208.36529961244702</v>
      </c>
      <c r="BC45" s="35">
        <f>SUM(BC38:BC44)</f>
        <v>212.01560487918482</v>
      </c>
    </row>
    <row r="46">
      <c r="A46" s="4" t="inlineStr">
        <is>
          <t>G&amp;A</t>
        </is>
      </c>
      <c r="B46" s="2" t="inlineStr">
        <is>
          <t>₹ lakh</t>
        </is>
      </c>
      <c r="C46" s="34">
        <f>C45*Assumptions!$C$71</f>
        <v>1.6304925</v>
      </c>
      <c r="D46" s="34">
        <f>D45*Assumptions!$C$71</f>
        <v>1.969065</v>
      </c>
      <c r="E46" s="34">
        <f>E45*Assumptions!$C$71</f>
        <v>2.3076375000000002</v>
      </c>
      <c r="F46" s="34">
        <f>F45*Assumptions!$C$71</f>
        <v>2.6462099999999995</v>
      </c>
      <c r="G46" s="34">
        <f>G45*Assumptions!$C$71</f>
        <v>2.9847825</v>
      </c>
      <c r="H46" s="34">
        <f>H45*Assumptions!$C$71</f>
        <v>5.188986955892411</v>
      </c>
      <c r="I46" s="34">
        <f>I45*Assumptions!$C$71</f>
        <v>5.551729330270824</v>
      </c>
      <c r="J46" s="34">
        <f>J45*Assumptions!$C$71</f>
        <v>5.916705972516881</v>
      </c>
      <c r="K46" s="34">
        <f>K45*Assumptions!$C$71</f>
        <v>6.284231328012836</v>
      </c>
      <c r="L46" s="34">
        <f>L45*Assumptions!$C$71</f>
        <v>6.654664096413147</v>
      </c>
      <c r="M46" s="34">
        <f>M45*Assumptions!$C$71</f>
        <v>7.028413459882284</v>
      </c>
      <c r="N46" s="34">
        <f>N45*Assumptions!$C$71</f>
        <v>7.405946187879392</v>
      </c>
      <c r="O46" s="34">
        <f>O45*Assumptions!$C$71</f>
        <v>7.7877947418529905</v>
      </c>
      <c r="P46" s="34">
        <f>P45*Assumptions!$C$71</f>
        <v>8.174566520570508</v>
      </c>
      <c r="Q46" s="34">
        <f>Q45*Assumptions!$C$71</f>
        <v>8.566954406612805</v>
      </c>
      <c r="R46" s="34">
        <f>R45*Assumptions!$C$71</f>
        <v>8.96574879715656</v>
      </c>
      <c r="S46" s="34">
        <f>S45*Assumptions!$C$71</f>
        <v>9.371851327939366</v>
      </c>
      <c r="T46" s="34">
        <f>T45*Assumptions!$C$71</f>
        <v>10.810407952860277</v>
      </c>
      <c r="U46" s="34">
        <f>U45*Assumptions!$C$71</f>
        <v>11.256100886993528</v>
      </c>
      <c r="V46" s="34">
        <f>V45*Assumptions!$C$71</f>
        <v>11.70464218172059</v>
      </c>
      <c r="W46" s="34">
        <f>W45*Assumptions!$C$71</f>
        <v>12.156234861784482</v>
      </c>
      <c r="X46" s="34">
        <f>X45*Assumptions!$C$71</f>
        <v>12.611096423075749</v>
      </c>
      <c r="Y46" s="34">
        <f>Y45*Assumptions!$C$71</f>
        <v>13.069459864103306</v>
      </c>
      <c r="Z46" s="34">
        <f>Z45*Assumptions!$C$71</f>
        <v>13.531574790986271</v>
      </c>
      <c r="AA46" s="34">
        <f>AA45*Assumptions!$C$71</f>
        <v>13.997708601207046</v>
      </c>
      <c r="AB46" s="34">
        <f>AB45*Assumptions!$C$71</f>
        <v>14.468147751739762</v>
      </c>
      <c r="AC46" s="34">
        <f>AC45*Assumptions!$C$71</f>
        <v>14.94319911756805</v>
      </c>
      <c r="AD46" s="34">
        <f>AD45*Assumptions!$C$71</f>
        <v>15.423191447034808</v>
      </c>
      <c r="AE46" s="34">
        <f>AE45*Assumptions!$C$71</f>
        <v>15.90847692092615</v>
      </c>
      <c r="AF46" s="34">
        <f>AF45*Assumptions!$C$71</f>
        <v>17.635352555543296</v>
      </c>
      <c r="AG46" s="34">
        <f>AG45*Assumptions!$C$71</f>
        <v>18.122943973428306</v>
      </c>
      <c r="AH46" s="34">
        <f>AH45*Assumptions!$C$71</f>
        <v>18.615126200405697</v>
      </c>
      <c r="AI46" s="34">
        <f>AI45*Assumptions!$C$71</f>
        <v>19.112164167335777</v>
      </c>
      <c r="AJ46" s="34">
        <f>AJ45*Assumptions!$C$71</f>
        <v>19.614338093965674</v>
      </c>
      <c r="AK46" s="34">
        <f>AK45*Assumptions!$C$71</f>
        <v>20.121944371235234</v>
      </c>
      <c r="AL46" s="34">
        <f>AL45*Assumptions!$C$71</f>
        <v>20.63529649449997</v>
      </c>
      <c r="AM46" s="34">
        <f>AM45*Assumptions!$C$71</f>
        <v>21.15472605060911</v>
      </c>
      <c r="AN46" s="34">
        <f>AN45*Assumptions!$C$71</f>
        <v>21.680583761947176</v>
      </c>
      <c r="AO46" s="34">
        <f>AO45*Assumptions!$C$71</f>
        <v>22.21324059072601</v>
      </c>
      <c r="AP46" s="34">
        <f>AP45*Assumptions!$C$71</f>
        <v>22.75308890700422</v>
      </c>
      <c r="AQ46" s="34">
        <f>AQ45*Assumptions!$C$71</f>
        <v>23.300543724112043</v>
      </c>
      <c r="AR46" s="34">
        <f>AR45*Assumptions!$C$71</f>
        <v>25.918694820572732</v>
      </c>
      <c r="AS46" s="34">
        <f>AS45*Assumptions!$C$71</f>
        <v>26.441889292792506</v>
      </c>
      <c r="AT46" s="34">
        <f>AT45*Assumptions!$C$71</f>
        <v>26.967233422948546</v>
      </c>
      <c r="AU46" s="34">
        <f>AU45*Assumptions!$C$71</f>
        <v>27.49478612984072</v>
      </c>
      <c r="AV46" s="34">
        <f>AV45*Assumptions!$C$71</f>
        <v>28.02460794714216</v>
      </c>
      <c r="AW46" s="34">
        <f>AW45*Assumptions!$C$71</f>
        <v>28.55676106766036</v>
      </c>
      <c r="AX46" s="34">
        <f>AX45*Assumptions!$C$71</f>
        <v>29.091309388811446</v>
      </c>
      <c r="AY46" s="34">
        <f>AY45*Assumptions!$C$71</f>
        <v>29.628318559340947</v>
      </c>
      <c r="AZ46" s="34">
        <f>AZ45*Assumptions!$C$71</f>
        <v>30.16785602732498</v>
      </c>
      <c r="BA46" s="34">
        <f>BA45*Assumptions!$C$71</f>
        <v>30.70999108948712</v>
      </c>
      <c r="BB46" s="34">
        <f>BB45*Assumptions!$C$71</f>
        <v>31.25479494186705</v>
      </c>
      <c r="BC46" s="34">
        <f>BC45*Assumptions!$C$71</f>
        <v>31.80234073187772</v>
      </c>
    </row>
    <row r="47">
      <c r="A47" s="4" t="inlineStr">
        <is>
          <t>Office, tools, compliance</t>
        </is>
      </c>
      <c r="B47" s="2" t="inlineStr">
        <is>
          <t>₹ lakh</t>
        </is>
      </c>
      <c r="C47" s="34">
        <f>INDEX(Assumptions!$C$72:$G$72,1,C$4)/C$6</f>
        <v>2.0</v>
      </c>
      <c r="D47" s="34">
        <f>INDEX(Assumptions!$C$72:$G$72,1,D$4)/D$6</f>
        <v>2.0</v>
      </c>
      <c r="E47" s="34">
        <f>INDEX(Assumptions!$C$72:$G$72,1,E$4)/E$6</f>
        <v>2.0</v>
      </c>
      <c r="F47" s="34">
        <f>INDEX(Assumptions!$C$72:$G$72,1,F$4)/F$6</f>
        <v>2.0</v>
      </c>
      <c r="G47" s="34">
        <f>INDEX(Assumptions!$C$72:$G$72,1,G$4)/G$6</f>
        <v>2.0</v>
      </c>
      <c r="H47" s="34">
        <f>INDEX(Assumptions!$C$72:$G$72,1,H$4)/H$6</f>
        <v>4.166666666666667</v>
      </c>
      <c r="I47" s="34">
        <f>INDEX(Assumptions!$C$72:$G$72,1,I$4)/I$6</f>
        <v>4.166666666666667</v>
      </c>
      <c r="J47" s="34">
        <f>INDEX(Assumptions!$C$72:$G$72,1,J$4)/J$6</f>
        <v>4.166666666666667</v>
      </c>
      <c r="K47" s="34">
        <f>INDEX(Assumptions!$C$72:$G$72,1,K$4)/K$6</f>
        <v>4.166666666666667</v>
      </c>
      <c r="L47" s="34">
        <f>INDEX(Assumptions!$C$72:$G$72,1,L$4)/L$6</f>
        <v>4.166666666666667</v>
      </c>
      <c r="M47" s="34">
        <f>INDEX(Assumptions!$C$72:$G$72,1,M$4)/M$6</f>
        <v>4.166666666666667</v>
      </c>
      <c r="N47" s="34">
        <f>INDEX(Assumptions!$C$72:$G$72,1,N$4)/N$6</f>
        <v>4.166666666666667</v>
      </c>
      <c r="O47" s="34">
        <f>INDEX(Assumptions!$C$72:$G$72,1,O$4)/O$6</f>
        <v>4.166666666666667</v>
      </c>
      <c r="P47" s="34">
        <f>INDEX(Assumptions!$C$72:$G$72,1,P$4)/P$6</f>
        <v>4.166666666666667</v>
      </c>
      <c r="Q47" s="34">
        <f>INDEX(Assumptions!$C$72:$G$72,1,Q$4)/Q$6</f>
        <v>4.166666666666667</v>
      </c>
      <c r="R47" s="34">
        <f>INDEX(Assumptions!$C$72:$G$72,1,R$4)/R$6</f>
        <v>4.166666666666667</v>
      </c>
      <c r="S47" s="34">
        <f>INDEX(Assumptions!$C$72:$G$72,1,S$4)/S$6</f>
        <v>4.166666666666667</v>
      </c>
      <c r="T47" s="34">
        <f>INDEX(Assumptions!$C$72:$G$72,1,T$4)/T$6</f>
        <v>8.333333333333334</v>
      </c>
      <c r="U47" s="34">
        <f>INDEX(Assumptions!$C$72:$G$72,1,U$4)/U$6</f>
        <v>8.333333333333334</v>
      </c>
      <c r="V47" s="34">
        <f>INDEX(Assumptions!$C$72:$G$72,1,V$4)/V$6</f>
        <v>8.333333333333334</v>
      </c>
      <c r="W47" s="34">
        <f>INDEX(Assumptions!$C$72:$G$72,1,W$4)/W$6</f>
        <v>8.333333333333334</v>
      </c>
      <c r="X47" s="34">
        <f>INDEX(Assumptions!$C$72:$G$72,1,X$4)/X$6</f>
        <v>8.333333333333334</v>
      </c>
      <c r="Y47" s="34">
        <f>INDEX(Assumptions!$C$72:$G$72,1,Y$4)/Y$6</f>
        <v>8.333333333333334</v>
      </c>
      <c r="Z47" s="34">
        <f>INDEX(Assumptions!$C$72:$G$72,1,Z$4)/Z$6</f>
        <v>8.333333333333334</v>
      </c>
      <c r="AA47" s="34">
        <f>INDEX(Assumptions!$C$72:$G$72,1,AA$4)/AA$6</f>
        <v>8.333333333333334</v>
      </c>
      <c r="AB47" s="34">
        <f>INDEX(Assumptions!$C$72:$G$72,1,AB$4)/AB$6</f>
        <v>8.333333333333334</v>
      </c>
      <c r="AC47" s="34">
        <f>INDEX(Assumptions!$C$72:$G$72,1,AC$4)/AC$6</f>
        <v>8.333333333333334</v>
      </c>
      <c r="AD47" s="34">
        <f>INDEX(Assumptions!$C$72:$G$72,1,AD$4)/AD$6</f>
        <v>8.333333333333334</v>
      </c>
      <c r="AE47" s="34">
        <f>INDEX(Assumptions!$C$72:$G$72,1,AE$4)/AE$6</f>
        <v>8.333333333333334</v>
      </c>
      <c r="AF47" s="34">
        <f>INDEX(Assumptions!$C$72:$G$72,1,AF$4)/AF$6</f>
        <v>12.5</v>
      </c>
      <c r="AG47" s="34">
        <f>INDEX(Assumptions!$C$72:$G$72,1,AG$4)/AG$6</f>
        <v>12.5</v>
      </c>
      <c r="AH47" s="34">
        <f>INDEX(Assumptions!$C$72:$G$72,1,AH$4)/AH$6</f>
        <v>12.5</v>
      </c>
      <c r="AI47" s="34">
        <f>INDEX(Assumptions!$C$72:$G$72,1,AI$4)/AI$6</f>
        <v>12.5</v>
      </c>
      <c r="AJ47" s="34">
        <f>INDEX(Assumptions!$C$72:$G$72,1,AJ$4)/AJ$6</f>
        <v>12.5</v>
      </c>
      <c r="AK47" s="34">
        <f>INDEX(Assumptions!$C$72:$G$72,1,AK$4)/AK$6</f>
        <v>12.5</v>
      </c>
      <c r="AL47" s="34">
        <f>INDEX(Assumptions!$C$72:$G$72,1,AL$4)/AL$6</f>
        <v>12.5</v>
      </c>
      <c r="AM47" s="34">
        <f>INDEX(Assumptions!$C$72:$G$72,1,AM$4)/AM$6</f>
        <v>12.5</v>
      </c>
      <c r="AN47" s="34">
        <f>INDEX(Assumptions!$C$72:$G$72,1,AN$4)/AN$6</f>
        <v>12.5</v>
      </c>
      <c r="AO47" s="34">
        <f>INDEX(Assumptions!$C$72:$G$72,1,AO$4)/AO$6</f>
        <v>12.5</v>
      </c>
      <c r="AP47" s="34">
        <f>INDEX(Assumptions!$C$72:$G$72,1,AP$4)/AP$6</f>
        <v>12.5</v>
      </c>
      <c r="AQ47" s="34">
        <f>INDEX(Assumptions!$C$72:$G$72,1,AQ$4)/AQ$6</f>
        <v>12.5</v>
      </c>
      <c r="AR47" s="34">
        <f>INDEX(Assumptions!$C$72:$G$72,1,AR$4)/AR$6</f>
        <v>16.666666666666668</v>
      </c>
      <c r="AS47" s="34">
        <f>INDEX(Assumptions!$C$72:$G$72,1,AS$4)/AS$6</f>
        <v>16.666666666666668</v>
      </c>
      <c r="AT47" s="34">
        <f>INDEX(Assumptions!$C$72:$G$72,1,AT$4)/AT$6</f>
        <v>16.666666666666668</v>
      </c>
      <c r="AU47" s="34">
        <f>INDEX(Assumptions!$C$72:$G$72,1,AU$4)/AU$6</f>
        <v>16.666666666666668</v>
      </c>
      <c r="AV47" s="34">
        <f>INDEX(Assumptions!$C$72:$G$72,1,AV$4)/AV$6</f>
        <v>16.666666666666668</v>
      </c>
      <c r="AW47" s="34">
        <f>INDEX(Assumptions!$C$72:$G$72,1,AW$4)/AW$6</f>
        <v>16.666666666666668</v>
      </c>
      <c r="AX47" s="34">
        <f>INDEX(Assumptions!$C$72:$G$72,1,AX$4)/AX$6</f>
        <v>16.666666666666668</v>
      </c>
      <c r="AY47" s="34">
        <f>INDEX(Assumptions!$C$72:$G$72,1,AY$4)/AY$6</f>
        <v>16.666666666666668</v>
      </c>
      <c r="AZ47" s="34">
        <f>INDEX(Assumptions!$C$72:$G$72,1,AZ$4)/AZ$6</f>
        <v>16.666666666666668</v>
      </c>
      <c r="BA47" s="34">
        <f>INDEX(Assumptions!$C$72:$G$72,1,BA$4)/BA$6</f>
        <v>16.666666666666668</v>
      </c>
      <c r="BB47" s="34">
        <f>INDEX(Assumptions!$C$72:$G$72,1,BB$4)/BB$6</f>
        <v>16.666666666666668</v>
      </c>
      <c r="BC47" s="34">
        <f>INDEX(Assumptions!$C$72:$G$72,1,BC$4)/BC$6</f>
        <v>16.666666666666668</v>
      </c>
    </row>
    <row r="48">
      <c r="A48" s="3" t="inlineStr">
        <is>
          <t>Operating expenses</t>
        </is>
      </c>
      <c r="B48" s="2" t="inlineStr">
        <is>
          <t>₹ lakh</t>
        </is>
      </c>
      <c r="C48" s="35">
        <f>C45+C46+C47</f>
        <v>14.500442499999998</v>
      </c>
      <c r="D48" s="35">
        <f>D45+D46+D47</f>
        <v>17.096165</v>
      </c>
      <c r="E48" s="35">
        <f>E45+E46+E47</f>
        <v>19.6918875</v>
      </c>
      <c r="F48" s="35">
        <f>F45+F46+F47</f>
        <v>22.287609999999997</v>
      </c>
      <c r="G48" s="35">
        <f>G45+G46+G47</f>
        <v>24.8833325</v>
      </c>
      <c r="H48" s="35">
        <f>H45+H46+H47</f>
        <v>43.948899995175154</v>
      </c>
      <c r="I48" s="35">
        <f>I45+I46+I47</f>
        <v>46.72992486540965</v>
      </c>
      <c r="J48" s="35">
        <f>J45+J46+J47</f>
        <v>49.528079122629414</v>
      </c>
      <c r="K48" s="35">
        <f>K45+K46+K47</f>
        <v>52.34577351476507</v>
      </c>
      <c r="L48" s="35">
        <f>L45+L46+L47</f>
        <v>55.185758072500796</v>
      </c>
      <c r="M48" s="35">
        <f>M45+M46+M47</f>
        <v>58.051169859097506</v>
      </c>
      <c r="N48" s="35">
        <f>N45+N46+N47</f>
        <v>60.94558744040867</v>
      </c>
      <c r="O48" s="35">
        <f>O45+O46+O47</f>
        <v>63.87309302087293</v>
      </c>
      <c r="P48" s="35">
        <f>P45+P46+P47</f>
        <v>66.8383433243739</v>
      </c>
      <c r="Q48" s="35">
        <f>Q45+Q46+Q47</f>
        <v>69.84665045069818</v>
      </c>
      <c r="R48" s="35">
        <f>R45+R46+R47</f>
        <v>72.90407411153365</v>
      </c>
      <c r="S48" s="35">
        <f>S45+S46+S47</f>
        <v>76.01752684753514</v>
      </c>
      <c r="T48" s="35">
        <f>T45+T46+T47</f>
        <v>91.21312763859545</v>
      </c>
      <c r="U48" s="35">
        <f>U45+U46+U47</f>
        <v>94.6301068002837</v>
      </c>
      <c r="V48" s="35">
        <f>V45+V46+V47</f>
        <v>98.06892339319118</v>
      </c>
      <c r="W48" s="35">
        <f>W45+W46+W47</f>
        <v>101.53113394034769</v>
      </c>
      <c r="X48" s="35">
        <f>X45+X46+X47</f>
        <v>105.01840591024741</v>
      </c>
      <c r="Y48" s="35">
        <f>Y45+Y46+Y47</f>
        <v>108.53252562479202</v>
      </c>
      <c r="Z48" s="35">
        <f>Z45+Z46+Z47</f>
        <v>112.07540673089474</v>
      </c>
      <c r="AA48" s="35">
        <f>AA45+AA46+AA47</f>
        <v>115.64909927592069</v>
      </c>
      <c r="AB48" s="35">
        <f>AB45+AB46+AB47</f>
        <v>119.25579943000484</v>
      </c>
      <c r="AC48" s="35">
        <f>AC45+AC46+AC47</f>
        <v>122.89785990135503</v>
      </c>
      <c r="AD48" s="35">
        <f>AD45+AD46+AD47</f>
        <v>126.57780109393353</v>
      </c>
      <c r="AE48" s="35">
        <f>AE45+AE46+AE47</f>
        <v>130.29832306043383</v>
      </c>
      <c r="AF48" s="35">
        <f>AF45+AF46+AF47</f>
        <v>147.7043695924986</v>
      </c>
      <c r="AG48" s="35">
        <f>AG45+AG46+AG47</f>
        <v>151.44257046295036</v>
      </c>
      <c r="AH48" s="35">
        <f>AH45+AH46+AH47</f>
        <v>155.21596753644369</v>
      </c>
      <c r="AI48" s="35">
        <f>AI45+AI46+AI47</f>
        <v>159.0265919495743</v>
      </c>
      <c r="AJ48" s="35">
        <f>AJ45+AJ46+AJ47</f>
        <v>162.87659205373683</v>
      </c>
      <c r="AK48" s="35">
        <f>AK45+AK46+AK47</f>
        <v>166.76824017947013</v>
      </c>
      <c r="AL48" s="35">
        <f>AL45+AL46+AL47</f>
        <v>170.70393979116642</v>
      </c>
      <c r="AM48" s="35">
        <f>AM45+AM46+AM47</f>
        <v>174.68623305466983</v>
      </c>
      <c r="AN48" s="35">
        <f>AN45+AN46+AN47</f>
        <v>178.717808841595</v>
      </c>
      <c r="AO48" s="35">
        <f>AO45+AO46+AO47</f>
        <v>182.80151119556606</v>
      </c>
      <c r="AP48" s="35">
        <f>AP45+AP46+AP47</f>
        <v>186.94034828703235</v>
      </c>
      <c r="AQ48" s="35">
        <f>AQ45+AQ46+AQ47</f>
        <v>191.13750188485898</v>
      </c>
      <c r="AR48" s="35">
        <f>AR45+AR46+AR47</f>
        <v>215.37666029105762</v>
      </c>
      <c r="AS48" s="35">
        <f>AS45+AS46+AS47</f>
        <v>219.3878179114092</v>
      </c>
      <c r="AT48" s="35">
        <f>AT45+AT46+AT47</f>
        <v>223.4154562426055</v>
      </c>
      <c r="AU48" s="35">
        <f>AU45+AU46+AU47</f>
        <v>227.4600269954455</v>
      </c>
      <c r="AV48" s="35">
        <f>AV45+AV46+AV47</f>
        <v>231.52199426142323</v>
      </c>
      <c r="AW48" s="35">
        <f>AW45+AW46+AW47</f>
        <v>235.60183485206275</v>
      </c>
      <c r="AX48" s="35">
        <f>AX45+AX46+AX47</f>
        <v>239.70003864755444</v>
      </c>
      <c r="AY48" s="35">
        <f>AY45+AY46+AY47</f>
        <v>243.81710895494726</v>
      </c>
      <c r="AZ48" s="35">
        <f>AZ45+AZ46+AZ47</f>
        <v>247.95356287615817</v>
      </c>
      <c r="BA48" s="35">
        <f>BA45+BA46+BA47</f>
        <v>252.1099316860679</v>
      </c>
      <c r="BB48" s="35">
        <f>BB45+BB46+BB47</f>
        <v>256.28676122098074</v>
      </c>
      <c r="BC48" s="35">
        <f>BC45+BC46+BC47</f>
        <v>260.48461227772924</v>
      </c>
    </row>
    <row r="49">
      <c r="A49" s="3" t="inlineStr">
        <is>
          <t>EBITDA</t>
        </is>
      </c>
      <c r="B49" s="2" t="inlineStr">
        <is>
          <t>₹ lakh</t>
        </is>
      </c>
      <c r="C49" s="35">
        <f>C26-C48</f>
        <v>-12.3647335</v>
      </c>
      <c r="D49" s="35">
        <f>D26-D48</f>
        <v>-13.576851499999997</v>
      </c>
      <c r="E49" s="35">
        <f>E26-E48</f>
        <v>-12.04897086192</v>
      </c>
      <c r="F49" s="35">
        <f>F26-F48</f>
        <v>-11.206089883359997</v>
      </c>
      <c r="G49" s="35">
        <f>G26-G48</f>
        <v>-10.363208904800008</v>
      </c>
      <c r="H49" s="35">
        <f>H26-H48</f>
        <v>-15.598816806430523</v>
      </c>
      <c r="I49" s="35">
        <f>I26-I48</f>
        <v>-14.1096391454519</v>
      </c>
      <c r="J49" s="35">
        <f>J26-J48</f>
        <v>-12.939193053317766</v>
      </c>
      <c r="K49" s="35">
        <f>K26-K48</f>
        <v>-11.342343693593797</v>
      </c>
      <c r="L49" s="35">
        <f>L26-L48</f>
        <v>-9.259080115752738</v>
      </c>
      <c r="M49" s="35">
        <f>M26-M48</f>
        <v>-6.620945575210442</v>
      </c>
      <c r="N49" s="35">
        <f>N26-N48</f>
        <v>-3.349848892976695</v>
      </c>
      <c r="O49" s="35">
        <f>O26-O48</f>
        <v>0.6432914710254494</v>
      </c>
      <c r="P49" s="35">
        <f>P26-P48</f>
        <v>5.460094174433991</v>
      </c>
      <c r="Q49" s="35">
        <f>Q26-Q48</f>
        <v>11.216479435638632</v>
      </c>
      <c r="R49" s="35">
        <f>R26-R48</f>
        <v>18.04468180038029</v>
      </c>
      <c r="S49" s="35">
        <f>S26-S48</f>
        <v>26.09554618018568</v>
      </c>
      <c r="T49" s="35">
        <f>T26-T48</f>
        <v>42.83957134163053</v>
      </c>
      <c r="U49" s="35">
        <f>U26-U48</f>
        <v>51.39142798010968</v>
      </c>
      <c r="V49" s="35">
        <f>V26-V48</f>
        <v>57.50472945738311</v>
      </c>
      <c r="W49" s="35">
        <f>W26-W48</f>
        <v>64.15108102024475</v>
      </c>
      <c r="X49" s="35">
        <f>X26-X48</f>
        <v>71.36847728106615</v>
      </c>
      <c r="Y49" s="35">
        <f>Y26-Y48</f>
        <v>79.1976210228153</v>
      </c>
      <c r="Z49" s="35">
        <f>Z26-Z48</f>
        <v>87.6821162313756</v>
      </c>
      <c r="AA49" s="35">
        <f>AA26-AA48</f>
        <v>96.86867488676742</v>
      </c>
      <c r="AB49" s="35">
        <f>AB26-AB48</f>
        <v>106.80733849398804</v>
      </c>
      <c r="AC49" s="35">
        <f>AC26-AC48</f>
        <v>117.55171540407262</v>
      </c>
      <c r="AD49" s="35">
        <f>AD26-AD48</f>
        <v>129.15923505086022</v>
      </c>
      <c r="AE49" s="35">
        <f>AE26-AE48</f>
        <v>141.691420309197</v>
      </c>
      <c r="AF49" s="35">
        <f>AF26-AF48</f>
        <v>166.15816227942406</v>
      </c>
      <c r="AG49" s="35">
        <f>AG26-AG48</f>
        <v>180.15819694638077</v>
      </c>
      <c r="AH49" s="35">
        <f>AH26-AH48</f>
        <v>193.55688517759992</v>
      </c>
      <c r="AI49" s="35">
        <f>AI26-AI48</f>
        <v>207.79181542449635</v>
      </c>
      <c r="AJ49" s="35">
        <f>AJ26-AJ48</f>
        <v>222.91124635175015</v>
      </c>
      <c r="AK49" s="35">
        <f>AK26-AK48</f>
        <v>238.96622158183754</v>
      </c>
      <c r="AL49" s="35">
        <f>AL26-AL48</f>
        <v>256.0107304120712</v>
      </c>
      <c r="AM49" s="35">
        <f>AM26-AM48</f>
        <v>274.10187780644856</v>
      </c>
      <c r="AN49" s="35">
        <f>AN26-AN48</f>
        <v>293.3000641975827</v>
      </c>
      <c r="AO49" s="35">
        <f>AO26-AO48</f>
        <v>313.66917566478287</v>
      </c>
      <c r="AP49" s="35">
        <f>AP26-AP48</f>
        <v>335.2767850871397</v>
      </c>
      <c r="AQ49" s="35">
        <f>AQ26-AQ48</f>
        <v>358.19436490494144</v>
      </c>
      <c r="AR49" s="35">
        <f>AR26-AR48</f>
        <v>386.85597382082096</v>
      </c>
      <c r="AS49" s="35">
        <f>AS26-AS48</f>
        <v>405.3372781963634</v>
      </c>
      <c r="AT49" s="35">
        <f>AT26-AT48</f>
        <v>417.91802194178797</v>
      </c>
      <c r="AU49" s="35">
        <f>AU26-AU48</f>
        <v>430.8652845233543</v>
      </c>
      <c r="AV49" s="35">
        <f>AV26-AV48</f>
        <v>444.1891116555981</v>
      </c>
      <c r="AW49" s="35">
        <f>AW26-AW48</f>
        <v>457.8998243905478</v>
      </c>
      <c r="AX49" s="35">
        <f>AX26-AX48</f>
        <v>472.0080266643143</v>
      </c>
      <c r="AY49" s="35">
        <f>AY26-AY48</f>
        <v>486.52461305049826</v>
      </c>
      <c r="AZ49" s="35">
        <f>AZ26-AZ48</f>
        <v>501.4607767261137</v>
      </c>
      <c r="BA49" s="35">
        <f>BA26-BA48</f>
        <v>516.8280176558474</v>
      </c>
      <c r="BB49" s="35">
        <f>BB26-BB48</f>
        <v>532.6381510006436</v>
      </c>
      <c r="BC49" s="35">
        <f>BC26-BC48</f>
        <v>548.9033157567271</v>
      </c>
    </row>
    <row r="50">
      <c r="A50" s="13" t="inlineStr">
        <is>
          <t>Capex, tax and working capital</t>
        </is>
      </c>
      <c r="B50" s="14" t="n"/>
    </row>
    <row r="51">
      <c r="A51" s="4" t="inlineStr">
        <is>
          <t>Capex (devices for new heads + 3-year refresh)</t>
        </is>
      </c>
      <c r="B51" s="2" t="inlineStr">
        <is>
          <t>₹ lakh</t>
        </is>
      </c>
      <c r="C51" s="34">
        <f>Assumptions!$C$74*MAX(0,C36-Assumptions!$C$65)</f>
        <v>4.8384</v>
      </c>
      <c r="D51" s="34">
        <f>Assumptions!$C$74*MAX(0,D36-C36)</f>
        <v>1.8288000000000018</v>
      </c>
      <c r="E51" s="34">
        <f>Assumptions!$C$74*MAX(0,E36-D36)</f>
        <v>1.8287999999999984</v>
      </c>
      <c r="F51" s="34">
        <f>Assumptions!$C$74*MAX(0,F36-E36)</f>
        <v>1.8288</v>
      </c>
      <c r="G51" s="34">
        <f>Assumptions!$C$74*MAX(0,G36-F36)</f>
        <v>1.8288000000000018</v>
      </c>
      <c r="H51" s="34">
        <f>Assumptions!$C$74*MAX(0,H36-G36)</f>
        <v>7.866833380443754</v>
      </c>
      <c r="I51" s="34">
        <f>Assumptions!$C$74*MAX(0,I36-H36)</f>
        <v>1.7129052949601313</v>
      </c>
      <c r="J51" s="34">
        <f>Assumptions!$C$74*MAX(0,J36-I36)</f>
        <v>1.7597575700352763</v>
      </c>
      <c r="K51" s="34">
        <f>Assumptions!$C$74*MAX(0,K36-J36)</f>
        <v>1.8132037194433328</v>
      </c>
      <c r="L51" s="34">
        <f>Assumptions!$C$74*MAX(0,L36-K36)</f>
        <v>1.8741717488925436</v>
      </c>
      <c r="M51" s="34">
        <f>Assumptions!$C$74*MAX(0,M36-L36)</f>
        <v>1.943720269339685</v>
      </c>
      <c r="N51" s="34">
        <f>Assumptions!$C$74*MAX(0,N36-M36)</f>
        <v>2.023056878052073</v>
      </c>
      <c r="O51" s="34">
        <f>Assumptions!$C$74*MAX(0,O36-N36)</f>
        <v>2.113559126576131</v>
      </c>
      <c r="P51" s="34">
        <f>Assumptions!$C$74*MAX(0,P36-O36)</f>
        <v>2.2167984396857543</v>
      </c>
      <c r="Q51" s="34">
        <f>Assumptions!$C$74*MAX(0,Q36-P36)</f>
        <v>2.334567400624949</v>
      </c>
      <c r="R51" s="34">
        <f>Assumptions!$C$74*MAX(0,R36-Q36)</f>
        <v>2.4689108764090024</v>
      </c>
      <c r="S51" s="34">
        <f>Assumptions!$C$74*MAX(0,S36-R36)</f>
        <v>2.622161523623674</v>
      </c>
      <c r="T51" s="34">
        <f>Assumptions!$C$74*MAX(0,T36-S36)</f>
        <v>3.779516968421197</v>
      </c>
      <c r="U51" s="34">
        <f>Assumptions!$C$74*MAX(0,U36-T36)</f>
        <v>2.4075438754338054</v>
      </c>
      <c r="V51" s="34">
        <f>Assumptions!$C$74*MAX(0,V36-U36)</f>
        <v>2.462341775443327</v>
      </c>
      <c r="W51" s="34">
        <f>Assumptions!$C$74*MAX(0,W36-V36)</f>
        <v>2.521045546637841</v>
      </c>
      <c r="X51" s="34">
        <f>Assumptions!$C$74*MAX(0,X36-W36)</f>
        <v>2.583933590739453</v>
      </c>
      <c r="Y51" s="34">
        <f>Assumptions!$C$74*MAX(0,Y36-X36)</f>
        <v>2.6513041533191726</v>
      </c>
      <c r="Z51" s="34">
        <f>Assumptions!$C$74*MAX(0,Z36-Y36)</f>
        <v>2.7234767382223395</v>
      </c>
      <c r="AA51" s="34">
        <f>Assumptions!$C$74*MAX(0,AA36-Z36)</f>
        <v>2.800793622810032</v>
      </c>
      <c r="AB51" s="34">
        <f>Assumptions!$C$74*MAX(0,AB36-AA36)</f>
        <v>2.883621481204662</v>
      </c>
      <c r="AC51" s="34">
        <f>Assumptions!$C$74*MAX(0,AC36-AB36)</f>
        <v>2.972353123237049</v>
      </c>
      <c r="AD51" s="34">
        <f>Assumptions!$C$74*MAX(0,AD36-AC36)</f>
        <v>3.0674093573390566</v>
      </c>
      <c r="AE51" s="34">
        <f>Assumptions!$C$74*MAX(0,AE36-AD36)</f>
        <v>3.1692409862222988</v>
      </c>
      <c r="AF51" s="34">
        <f>Assumptions!$C$74*MAX(0,AF36-AE36)</f>
        <v>1.844962245870984</v>
      </c>
      <c r="AG51" s="34">
        <f>Assumptions!$C$74*MAX(0,AG36-AF36)</f>
        <v>2.870318723665247</v>
      </c>
      <c r="AH51" s="34">
        <f>Assumptions!$C$74*MAX(0,AH36-AG36)</f>
        <v>2.951346082322452</v>
      </c>
      <c r="AI51" s="34">
        <f>Assumptions!$C$74*MAX(0,AI36-AH36)</f>
        <v>3.0370494463210393</v>
      </c>
      <c r="AJ51" s="34">
        <f>Assumptions!$C$74*MAX(0,AJ36-AI36)</f>
        <v>3.1276986631086277</v>
      </c>
      <c r="AK51" s="34">
        <f>Assumptions!$C$74*MAX(0,AK36-AJ36)</f>
        <v>3.223579152750911</v>
      </c>
      <c r="AL51" s="34">
        <f>Assumptions!$C$74*MAX(0,AL36-AK36)</f>
        <v>3.324992806612545</v>
      </c>
      <c r="AM51" s="34">
        <f>Assumptions!$C$74*MAX(0,AM36-AL36)+C51</f>
        <v>8.270658937895458</v>
      </c>
      <c r="AN51" s="34">
        <f>Assumptions!$C$74*MAX(0,AN36-AM36)+D51</f>
        <v>5.37451528703949</v>
      </c>
      <c r="AO51" s="34">
        <f>Assumptions!$C$74*MAX(0,AO36-AN36)+E51</f>
        <v>5.494519085136677</v>
      </c>
      <c r="AP51" s="34">
        <f>Assumptions!$C$74*MAX(0,AP36-AO36)+F51</f>
        <v>5.6214481787157355</v>
      </c>
      <c r="AQ51" s="34">
        <f>Assumptions!$C$74*MAX(0,AQ36-AP36)+G51</f>
        <v>5.755702219440234</v>
      </c>
      <c r="AR51" s="34">
        <f>Assumptions!$C$74*MAX(0,AR36-AQ36)+H51</f>
        <v>10.569194862702721</v>
      </c>
      <c r="AS51" s="34">
        <f>Assumptions!$C$74*MAX(0,AS36-AR36)+I51</f>
        <v>4.4491466814843585</v>
      </c>
      <c r="AT51" s="34">
        <f>Assumptions!$C$74*MAX(0,AT36-AS36)+J51</f>
        <v>4.530807456610271</v>
      </c>
      <c r="AU51" s="34">
        <f>Assumptions!$C$74*MAX(0,AU36-AT36)+K51</f>
        <v>4.620016153228447</v>
      </c>
      <c r="AV51" s="34">
        <f>Assumptions!$C$74*MAX(0,AV36-AU36)+L51</f>
        <v>4.717726926006278</v>
      </c>
      <c r="AW51" s="34">
        <f>Assumptions!$C$74*MAX(0,AW36-AV36)+M51</f>
        <v>4.825025251559317</v>
      </c>
      <c r="AX51" s="34">
        <f>Assumptions!$C$74*MAX(0,AX36-AW36)+N51</f>
        <v>4.943146329160708</v>
      </c>
      <c r="AY51" s="34">
        <f>Assumptions!$C$74*MAX(0,AY36-AX36)+O51</f>
        <v>5.073496068891696</v>
      </c>
      <c r="AZ51" s="34">
        <f>Assumptions!$C$74*MAX(0,AZ36-AY36)+P51</f>
        <v>5.217675031323978</v>
      </c>
      <c r="BA51" s="34">
        <f>Assumptions!$C$74*MAX(0,BA36-AZ36)+Q51</f>
        <v>5.377505734066203</v>
      </c>
      <c r="BB51" s="34">
        <f>Assumptions!$C$74*MAX(0,BB36-BA36)+R51</f>
        <v>5.5550637989548886</v>
      </c>
      <c r="BC51" s="34">
        <f>Assumptions!$C$74*MAX(0,BC36-BB36)+S51</f>
        <v>5.752713480336212</v>
      </c>
    </row>
    <row r="52">
      <c r="A52" s="4" t="inlineStr">
        <is>
          <t>Depreciation (36 months)</t>
        </is>
      </c>
      <c r="B52" s="2" t="inlineStr">
        <is>
          <t>₹ lakh</t>
        </is>
      </c>
      <c r="C52" s="34">
        <f>SUM(C51:C51)/36</f>
        <v>0.1344</v>
      </c>
      <c r="D52" s="34">
        <f>SUM(C51:D51)/36</f>
        <v>0.18520000000000006</v>
      </c>
      <c r="E52" s="34">
        <f>SUM(C51:E51)/36</f>
        <v>0.23600000000000002</v>
      </c>
      <c r="F52" s="34">
        <f>SUM(C51:F51)/36</f>
        <v>0.2868</v>
      </c>
      <c r="G52" s="34">
        <f>SUM(C51:G51)/36</f>
        <v>0.3376</v>
      </c>
      <c r="H52" s="34">
        <f>SUM(C51:H51)/36</f>
        <v>0.556123149456771</v>
      </c>
      <c r="I52" s="34">
        <f>SUM(C51:I51)/36</f>
        <v>0.6037038520945524</v>
      </c>
      <c r="J52" s="34">
        <f>SUM(C51:J51)/36</f>
        <v>0.6525860068177545</v>
      </c>
      <c r="K52" s="34">
        <f>SUM(C51:K51)/36</f>
        <v>0.7029527768022915</v>
      </c>
      <c r="L52" s="34">
        <f>SUM(C51:L51)/36</f>
        <v>0.7550131031604177</v>
      </c>
      <c r="M52" s="34">
        <f>SUM(C51:M51)/36</f>
        <v>0.8090053328642979</v>
      </c>
      <c r="N52" s="34">
        <f>SUM(C51:N51)/36</f>
        <v>0.8652013572546333</v>
      </c>
      <c r="O52" s="34">
        <f>SUM(C51:O51)/36</f>
        <v>0.9239113329928591</v>
      </c>
      <c r="P52" s="34">
        <f>SUM(C51:P51)/36</f>
        <v>0.9854890674285746</v>
      </c>
      <c r="Q52" s="34">
        <f>SUM(C51:Q51)/36</f>
        <v>1.0503381618903787</v>
      </c>
      <c r="R52" s="34">
        <f>SUM(C51:R51)/36</f>
        <v>1.1189190195684064</v>
      </c>
      <c r="S52" s="34">
        <f>SUM(C51:S51)/36</f>
        <v>1.1917568396690639</v>
      </c>
      <c r="T52" s="34">
        <f>SUM(C51:T51)/36</f>
        <v>1.2967434221252083</v>
      </c>
      <c r="U52" s="34">
        <f>SUM(C51:U51)/36</f>
        <v>1.3636196408872585</v>
      </c>
      <c r="V52" s="34">
        <f>SUM(C51:V51)/36</f>
        <v>1.432018023538462</v>
      </c>
      <c r="W52" s="34">
        <f>SUM(C51:W51)/36</f>
        <v>1.5020470665006243</v>
      </c>
      <c r="X52" s="34">
        <f>SUM(C51:X51)/36</f>
        <v>1.5738229995767203</v>
      </c>
      <c r="Y52" s="34">
        <f>SUM(C51:Y51)/36</f>
        <v>1.6474703371689197</v>
      </c>
      <c r="Z52" s="34">
        <f>SUM(C51:Z51)/36</f>
        <v>1.7231224687862068</v>
      </c>
      <c r="AA52" s="34">
        <f>SUM(C51:AA51)/36</f>
        <v>1.8009222916420409</v>
      </c>
      <c r="AB52" s="34">
        <f>SUM(C51:AB51)/36</f>
        <v>1.8810228883421702</v>
      </c>
      <c r="AC52" s="34">
        <f>SUM(C51:AC51)/36</f>
        <v>1.9635882528765327</v>
      </c>
      <c r="AD52" s="34">
        <f>SUM(C51:AD51)/36</f>
        <v>2.0487940683581733</v>
      </c>
      <c r="AE52" s="34">
        <f>SUM(C51:AE51)/36</f>
        <v>2.1368285401976816</v>
      </c>
      <c r="AF52" s="34">
        <f>SUM(C51:AF51)/36</f>
        <v>2.188077491471876</v>
      </c>
      <c r="AG52" s="34">
        <f>SUM(C51:AG51)/36</f>
        <v>2.267808567129244</v>
      </c>
      <c r="AH52" s="34">
        <f>SUM(C51:AH51)/36</f>
        <v>2.3497904027493117</v>
      </c>
      <c r="AI52" s="34">
        <f>SUM(C51:AI51)/36</f>
        <v>2.4341528873693408</v>
      </c>
      <c r="AJ52" s="34">
        <f>SUM(C51:AJ51)/36</f>
        <v>2.5210334057890247</v>
      </c>
      <c r="AK52" s="34">
        <f>SUM(C51:AK51)/36</f>
        <v>2.610577271143217</v>
      </c>
      <c r="AL52" s="34">
        <f>SUM(C51:AL51)/36</f>
        <v>2.7029381824380097</v>
      </c>
      <c r="AM52" s="34">
        <f>SUM(D51:AM51)/36</f>
        <v>2.7982787084906615</v>
      </c>
      <c r="AN52" s="34">
        <f>SUM(E51:AN51)/36</f>
        <v>2.8967707997973138</v>
      </c>
      <c r="AO52" s="34">
        <f>SUM(F51:AO51)/36</f>
        <v>2.998596329939999</v>
      </c>
      <c r="AP52" s="34">
        <f>SUM(G51:AP51)/36</f>
        <v>3.1039476682376583</v>
      </c>
      <c r="AQ52" s="34">
        <f>SUM(H51:AQ51)/36</f>
        <v>3.2130282854443317</v>
      </c>
      <c r="AR52" s="34">
        <f>SUM(I51:AR51)/36</f>
        <v>3.288093882173747</v>
      </c>
      <c r="AS52" s="34">
        <f>SUM(J51:AS51)/36</f>
        <v>3.364100587354976</v>
      </c>
      <c r="AT52" s="34">
        <f>SUM(K51:AT51)/36</f>
        <v>3.4410741953153927</v>
      </c>
      <c r="AU52" s="34">
        <f>SUM(L51:AU51)/36</f>
        <v>3.5190412073649795</v>
      </c>
      <c r="AV52" s="34">
        <f>SUM(M51:AV51)/36</f>
        <v>3.5980288511736935</v>
      </c>
      <c r="AW52" s="34">
        <f>SUM(N51:AW51)/36</f>
        <v>3.6780651006797944</v>
      </c>
      <c r="AX52" s="34">
        <f>SUM(O51:AX51)/36</f>
        <v>3.759178696543923</v>
      </c>
      <c r="AY52" s="34">
        <f>SUM(P51:AY51)/36</f>
        <v>3.8413991671638</v>
      </c>
      <c r="AZ52" s="34">
        <f>SUM(Q51:AZ51)/36</f>
        <v>3.9247568502648615</v>
      </c>
      <c r="BA52" s="34">
        <f>SUM(R51:BA51)/36</f>
        <v>4.009282915082675</v>
      </c>
      <c r="BB52" s="34">
        <f>SUM(S51:BB51)/36</f>
        <v>4.095009385153393</v>
      </c>
      <c r="BC52" s="34">
        <f>SUM(T51:BC51)/36</f>
        <v>4.181969161728741</v>
      </c>
    </row>
    <row r="53">
      <c r="A53" s="4" t="inlineStr">
        <is>
          <t>EBIT (= profit before tax; no debt)</t>
        </is>
      </c>
      <c r="B53" s="2" t="inlineStr">
        <is>
          <t>₹ lakh</t>
        </is>
      </c>
      <c r="C53" s="34">
        <f>C49-C52</f>
        <v>-12.4991335</v>
      </c>
      <c r="D53" s="34">
        <f>D49-D52</f>
        <v>-13.762051499999997</v>
      </c>
      <c r="E53" s="34">
        <f>E49-E52</f>
        <v>-12.284970861920002</v>
      </c>
      <c r="F53" s="34">
        <f>F49-F52</f>
        <v>-11.492889883359997</v>
      </c>
      <c r="G53" s="34">
        <f>G49-G52</f>
        <v>-10.700808904800008</v>
      </c>
      <c r="H53" s="34">
        <f>H49-H52</f>
        <v>-16.154939955887293</v>
      </c>
      <c r="I53" s="34">
        <f>I49-I52</f>
        <v>-14.713342997546453</v>
      </c>
      <c r="J53" s="34">
        <f>J49-J52</f>
        <v>-13.59177906013552</v>
      </c>
      <c r="K53" s="34">
        <f>K49-K52</f>
        <v>-12.045296470396089</v>
      </c>
      <c r="L53" s="34">
        <f>L49-L52</f>
        <v>-10.014093218913155</v>
      </c>
      <c r="M53" s="34">
        <f>M49-M52</f>
        <v>-7.42995090807474</v>
      </c>
      <c r="N53" s="34">
        <f>N49-N52</f>
        <v>-4.215050250231329</v>
      </c>
      <c r="O53" s="34">
        <f>O49-O52</f>
        <v>-0.28061986196740973</v>
      </c>
      <c r="P53" s="34">
        <f>P49-P52</f>
        <v>4.4746051070054165</v>
      </c>
      <c r="Q53" s="34">
        <f>Q49-Q52</f>
        <v>10.166141273748254</v>
      </c>
      <c r="R53" s="34">
        <f>R49-R52</f>
        <v>16.925762780811883</v>
      </c>
      <c r="S53" s="34">
        <f>S49-S52</f>
        <v>24.903789340516614</v>
      </c>
      <c r="T53" s="34">
        <f>T49-T52</f>
        <v>41.54282791950532</v>
      </c>
      <c r="U53" s="34">
        <f>U49-U52</f>
        <v>50.027808339222425</v>
      </c>
      <c r="V53" s="34">
        <f>V49-V52</f>
        <v>56.072711433844646</v>
      </c>
      <c r="W53" s="34">
        <f>W49-W52</f>
        <v>62.64903395374412</v>
      </c>
      <c r="X53" s="34">
        <f>X49-X52</f>
        <v>69.79465428148943</v>
      </c>
      <c r="Y53" s="34">
        <f>Y49-Y52</f>
        <v>77.55015068564637</v>
      </c>
      <c r="Z53" s="34">
        <f>Z49-Z52</f>
        <v>85.9589937625894</v>
      </c>
      <c r="AA53" s="34">
        <f>AA49-AA52</f>
        <v>95.06775259512538</v>
      </c>
      <c r="AB53" s="34">
        <f>AB49-AB52</f>
        <v>104.92631560564587</v>
      </c>
      <c r="AC53" s="34">
        <f>AC49-AC52</f>
        <v>115.58812715119609</v>
      </c>
      <c r="AD53" s="34">
        <f>AD49-AD52</f>
        <v>127.11044098250204</v>
      </c>
      <c r="AE53" s="34">
        <f>AE49-AE52</f>
        <v>139.55459176899933</v>
      </c>
      <c r="AF53" s="34">
        <f>AF49-AF52</f>
        <v>163.97008478795217</v>
      </c>
      <c r="AG53" s="34">
        <f>AG49-AG52</f>
        <v>177.89038837925153</v>
      </c>
      <c r="AH53" s="34">
        <f>AH49-AH52</f>
        <v>191.20709477485062</v>
      </c>
      <c r="AI53" s="34">
        <f>AI49-AI52</f>
        <v>205.357662537127</v>
      </c>
      <c r="AJ53" s="34">
        <f>AJ49-AJ52</f>
        <v>220.39021294596114</v>
      </c>
      <c r="AK53" s="34">
        <f>AK49-AK52</f>
        <v>236.35564431069432</v>
      </c>
      <c r="AL53" s="34">
        <f>AL49-AL52</f>
        <v>253.3077922296332</v>
      </c>
      <c r="AM53" s="34">
        <f>AM49-AM52</f>
        <v>271.3035990979579</v>
      </c>
      <c r="AN53" s="34">
        <f>AN49-AN52</f>
        <v>290.4032933977854</v>
      </c>
      <c r="AO53" s="34">
        <f>AO49-AO52</f>
        <v>310.6705793348429</v>
      </c>
      <c r="AP53" s="34">
        <f>AP49-AP52</f>
        <v>332.172837418902</v>
      </c>
      <c r="AQ53" s="34">
        <f>AQ49-AQ52</f>
        <v>354.9813366194971</v>
      </c>
      <c r="AR53" s="34">
        <f>AR49-AR52</f>
        <v>383.5678799386472</v>
      </c>
      <c r="AS53" s="34">
        <f>AS49-AS52</f>
        <v>401.9731776090084</v>
      </c>
      <c r="AT53" s="34">
        <f>AT49-AT52</f>
        <v>414.4769477464726</v>
      </c>
      <c r="AU53" s="34">
        <f>AU49-AU52</f>
        <v>427.34624331598934</v>
      </c>
      <c r="AV53" s="34">
        <f>AV49-AV52</f>
        <v>440.5910828044244</v>
      </c>
      <c r="AW53" s="34">
        <f>AW49-AW52</f>
        <v>454.221759289868</v>
      </c>
      <c r="AX53" s="34">
        <f>AX49-AX52</f>
        <v>468.24884796777036</v>
      </c>
      <c r="AY53" s="34">
        <f>AY49-AY52</f>
        <v>482.6832138833345</v>
      </c>
      <c r="AZ53" s="34">
        <f>AZ49-AZ52</f>
        <v>497.5360198758488</v>
      </c>
      <c r="BA53" s="34">
        <f>BA49-BA52</f>
        <v>512.8187347407647</v>
      </c>
      <c r="BB53" s="34">
        <f>BB49-BB52</f>
        <v>528.5431416154902</v>
      </c>
      <c r="BC53" s="34">
        <f>BC49-BC52</f>
        <v>544.7213465949984</v>
      </c>
    </row>
    <row r="54">
      <c r="A54" s="4" t="inlineStr">
        <is>
          <t>Tax paid (each March)</t>
        </is>
      </c>
      <c r="B54" s="2" t="inlineStr">
        <is>
          <t>₹ lakh</t>
        </is>
      </c>
      <c r="C54" s="34" t="n">
        <v>0</v>
      </c>
      <c r="D54" s="34" t="n">
        <v>0</v>
      </c>
      <c r="E54" s="34" t="n">
        <v>0</v>
      </c>
      <c r="F54" s="34" t="n">
        <v>0</v>
      </c>
      <c r="G54" s="34">
        <f>C101</f>
        <v>0.0</v>
      </c>
      <c r="H54" s="34" t="n">
        <v>0</v>
      </c>
      <c r="I54" s="34" t="n">
        <v>0</v>
      </c>
      <c r="J54" s="34" t="n">
        <v>0</v>
      </c>
      <c r="K54" s="34" t="n">
        <v>0</v>
      </c>
      <c r="L54" s="34" t="n">
        <v>0</v>
      </c>
      <c r="M54" s="34" t="n">
        <v>0</v>
      </c>
      <c r="N54" s="34" t="n">
        <v>0</v>
      </c>
      <c r="O54" s="34" t="n">
        <v>0</v>
      </c>
      <c r="P54" s="34" t="n">
        <v>0</v>
      </c>
      <c r="Q54" s="34" t="n">
        <v>0</v>
      </c>
      <c r="R54" s="34" t="n">
        <v>0</v>
      </c>
      <c r="S54" s="34">
        <f>D101</f>
        <v>0.0</v>
      </c>
      <c r="T54" s="34" t="n">
        <v>0</v>
      </c>
      <c r="U54" s="34" t="n">
        <v>0</v>
      </c>
      <c r="V54" s="34" t="n">
        <v>0</v>
      </c>
      <c r="W54" s="34" t="n">
        <v>0</v>
      </c>
      <c r="X54" s="34" t="n">
        <v>0</v>
      </c>
      <c r="Y54" s="34" t="n">
        <v>0</v>
      </c>
      <c r="Z54" s="34" t="n">
        <v>0</v>
      </c>
      <c r="AA54" s="34" t="n">
        <v>0</v>
      </c>
      <c r="AB54" s="34" t="n">
        <v>0</v>
      </c>
      <c r="AC54" s="34" t="n">
        <v>0</v>
      </c>
      <c r="AD54" s="34" t="n">
        <v>0</v>
      </c>
      <c r="AE54" s="34">
        <f>E101</f>
        <v>237.3666512518322</v>
      </c>
      <c r="AF54" s="34" t="n">
        <v>0</v>
      </c>
      <c r="AG54" s="34" t="n">
        <v>0</v>
      </c>
      <c r="AH54" s="34" t="n">
        <v>0</v>
      </c>
      <c r="AI54" s="34" t="n">
        <v>0</v>
      </c>
      <c r="AJ54" s="34" t="n">
        <v>0</v>
      </c>
      <c r="AK54" s="34" t="n">
        <v>0</v>
      </c>
      <c r="AL54" s="34" t="n">
        <v>0</v>
      </c>
      <c r="AM54" s="34" t="n">
        <v>0</v>
      </c>
      <c r="AN54" s="34" t="n">
        <v>0</v>
      </c>
      <c r="AO54" s="34" t="n">
        <v>0</v>
      </c>
      <c r="AP54" s="34" t="n">
        <v>0</v>
      </c>
      <c r="AQ54" s="34">
        <f>F101</f>
        <v>757.0560891420157</v>
      </c>
      <c r="AR54" s="34" t="n">
        <v>0</v>
      </c>
      <c r="AS54" s="34" t="n">
        <v>0</v>
      </c>
      <c r="AT54" s="34" t="n">
        <v>0</v>
      </c>
      <c r="AU54" s="34" t="n">
        <v>0</v>
      </c>
      <c r="AV54" s="34" t="n">
        <v>0</v>
      </c>
      <c r="AW54" s="34" t="n">
        <v>0</v>
      </c>
      <c r="AX54" s="34" t="n">
        <v>0</v>
      </c>
      <c r="AY54" s="34" t="n">
        <v>0</v>
      </c>
      <c r="AZ54" s="34" t="n">
        <v>0</v>
      </c>
      <c r="BA54" s="34" t="n">
        <v>0</v>
      </c>
      <c r="BB54" s="34" t="n">
        <v>0</v>
      </c>
      <c r="BC54" s="34">
        <f>G101</f>
        <v>1398.517402549897</v>
      </c>
    </row>
    <row r="55">
      <c r="A55" s="4" t="inlineStr">
        <is>
          <t>Receivables</t>
        </is>
      </c>
      <c r="B55" s="2" t="inlineStr">
        <is>
          <t>₹ lakh</t>
        </is>
      </c>
      <c r="C55" s="34">
        <f>(C15*Assumptions!$C$78+C16*Assumptions!$C$79+C17*Assumptions!$C$80+C19*Assumptions!$C$81+C20*Assumptions!$C$82)/30</f>
        <v>0.0</v>
      </c>
      <c r="D55" s="34">
        <f>(D15*Assumptions!$C$78+D16*Assumptions!$C$79+D17*Assumptions!$C$80+D19*Assumptions!$C$81+D20*Assumptions!$C$82)/30</f>
        <v>0.0</v>
      </c>
      <c r="E55" s="34">
        <f>(E15*Assumptions!$C$78+E16*Assumptions!$C$79+E17*Assumptions!$C$80+E19*Assumptions!$C$81+E20*Assumptions!$C$82)/30</f>
        <v>3.037630464</v>
      </c>
      <c r="F55" s="34">
        <f>(F15*Assumptions!$C$78+F16*Assumptions!$C$79+F17*Assumptions!$C$80+F19*Assumptions!$C$81+F20*Assumptions!$C$82)/30</f>
        <v>5.315853312</v>
      </c>
      <c r="G55" s="34">
        <f>(G15*Assumptions!$C$78+G16*Assumptions!$C$79+G17*Assumptions!$C$80+G19*Assumptions!$C$81+G20*Assumptions!$C$82)/30</f>
        <v>7.594076159999999</v>
      </c>
      <c r="H55" s="34">
        <f>(H15*Assumptions!$C$78+H16*Assumptions!$C$79+H17*Assumptions!$C$80+H19*Assumptions!$C$81+H20*Assumptions!$C$82)/30</f>
        <v>23.071207765333334</v>
      </c>
      <c r="I55" s="34">
        <f>(I15*Assumptions!$C$78+I16*Assumptions!$C$79+I17*Assumptions!$C$80+I19*Assumptions!$C$81+I20*Assumptions!$C$82)/30</f>
        <v>25.318409557333332</v>
      </c>
      <c r="J55" s="34">
        <f>(J15*Assumptions!$C$78+J16*Assumptions!$C$79+J17*Assumptions!$C$80+J19*Assumptions!$C$81+J20*Assumptions!$C$82)/30</f>
        <v>27.005159802957387</v>
      </c>
      <c r="K55" s="34">
        <f>(K15*Assumptions!$C$78+K16*Assumptions!$C$79+K17*Assumptions!$C$80+K19*Assumptions!$C$81+K20*Assumptions!$C$82)/30</f>
        <v>28.929299142979733</v>
      </c>
      <c r="L55" s="34">
        <f>(L15*Assumptions!$C$78+L16*Assumptions!$C$79+L17*Assumptions!$C$80+L19*Assumptions!$C$81+L20*Assumptions!$C$82)/30</f>
        <v>31.124237136572464</v>
      </c>
      <c r="M55" s="34">
        <f>(M15*Assumptions!$C$78+M16*Assumptions!$C$79+M17*Assumptions!$C$80+M19*Assumptions!$C$81+M20*Assumptions!$C$82)/30</f>
        <v>33.6280853223598</v>
      </c>
      <c r="N55" s="34">
        <f>(N15*Assumptions!$C$78+N16*Assumptions!$C$79+N17*Assumptions!$C$80+N19*Assumptions!$C$81+N20*Assumptions!$C$82)/30</f>
        <v>36.48431896347886</v>
      </c>
      <c r="O55" s="34">
        <f>(O15*Assumptions!$C$78+O16*Assumptions!$C$79+O17*Assumptions!$C$80+O19*Assumptions!$C$81+O20*Assumptions!$C$82)/30</f>
        <v>39.74253192501915</v>
      </c>
      <c r="P55" s="34">
        <f>(P15*Assumptions!$C$78+P16*Assumptions!$C$79+P17*Assumptions!$C$80+P19*Assumptions!$C$81+P20*Assumptions!$C$82)/30</f>
        <v>43.45929779105963</v>
      </c>
      <c r="Q55" s="34">
        <f>(Q15*Assumptions!$C$78+Q16*Assumptions!$C$79+Q17*Assumptions!$C$80+Q19*Assumptions!$C$81+Q20*Assumptions!$C$82)/30</f>
        <v>47.69915217320943</v>
      </c>
      <c r="R55" s="34">
        <f>(R15*Assumptions!$C$78+R16*Assumptions!$C$79+R17*Assumptions!$C$80+R19*Assumptions!$C$81+R20*Assumptions!$C$82)/30</f>
        <v>52.535713266842734</v>
      </c>
      <c r="S55" s="34">
        <f>(S15*Assumptions!$C$78+S16*Assumptions!$C$79+S17*Assumptions!$C$80+S19*Assumptions!$C$81+S20*Assumptions!$C$82)/30</f>
        <v>58.05296011167085</v>
      </c>
      <c r="T55" s="34">
        <f>(T15*Assumptions!$C$78+T16*Assumptions!$C$79+T17*Assumptions!$C$80+T19*Assumptions!$C$81+T20*Assumptions!$C$82)/30</f>
        <v>103.64248687328794</v>
      </c>
      <c r="U55" s="34">
        <f>(U15*Assumptions!$C$78+U16*Assumptions!$C$79+U17*Assumptions!$C$80+U19*Assumptions!$C$81+U20*Assumptions!$C$82)/30</f>
        <v>110.72287380655743</v>
      </c>
      <c r="V55" s="34">
        <f>(V15*Assumptions!$C$78+V16*Assumptions!$C$79+V17*Assumptions!$C$80+V19*Assumptions!$C$81+V20*Assumptions!$C$82)/30</f>
        <v>114.81347130079656</v>
      </c>
      <c r="W55" s="34">
        <f>(W15*Assumptions!$C$78+W16*Assumptions!$C$79+W17*Assumptions!$C$80+W19*Assumptions!$C$81+W20*Assumptions!$C$82)/30</f>
        <v>119.19563739310934</v>
      </c>
      <c r="X55" s="34">
        <f>(X15*Assumptions!$C$78+X16*Assumptions!$C$79+X17*Assumptions!$C$80+X19*Assumptions!$C$81+X20*Assumptions!$C$82)/30</f>
        <v>123.890154438031</v>
      </c>
      <c r="Y55" s="34">
        <f>(Y15*Assumptions!$C$78+Y16*Assumptions!$C$79+Y17*Assumptions!$C$80+Y19*Assumptions!$C$81+Y20*Assumptions!$C$82)/30</f>
        <v>128.91928610962916</v>
      </c>
      <c r="Z55" s="34">
        <f>(Z15*Assumptions!$C$78+Z16*Assumptions!$C$79+Z17*Assumptions!$C$80+Z19*Assumptions!$C$81+Z20*Assumptions!$C$82)/30</f>
        <v>134.30688298663554</v>
      </c>
      <c r="AA55" s="34">
        <f>(AA15*Assumptions!$C$78+AA16*Assumptions!$C$79+AA17*Assumptions!$C$80+AA19*Assumptions!$C$81+AA20*Assumptions!$C$82)/30</f>
        <v>140.07849566344302</v>
      </c>
      <c r="AB55" s="34">
        <f>(AB15*Assumptions!$C$78+AB16*Assumptions!$C$79+AB17*Assumptions!$C$80+AB19*Assumptions!$C$81+AB20*Assumptions!$C$82)/30</f>
        <v>146.261495923403</v>
      </c>
      <c r="AC55" s="34">
        <f>(AC15*Assumptions!$C$78+AC16*Assumptions!$C$79+AC17*Assumptions!$C$80+AC19*Assumptions!$C$81+AC20*Assumptions!$C$82)/30</f>
        <v>152.8852065490801</v>
      </c>
      <c r="AD55" s="34">
        <f>(AD15*Assumptions!$C$78+AD16*Assumptions!$C$79+AD17*Assumptions!$C$80+AD19*Assumptions!$C$81+AD20*Assumptions!$C$82)/30</f>
        <v>159.9810403850923</v>
      </c>
      <c r="AE55" s="34">
        <f>(AE15*Assumptions!$C$78+AE16*Assumptions!$C$79+AE17*Assumptions!$C$80+AE19*Assumptions!$C$81+AE20*Assumptions!$C$82)/30</f>
        <v>167.58264931304345</v>
      </c>
      <c r="AF55" s="34">
        <f>(AF15*Assumptions!$C$78+AF16*Assumptions!$C$79+AF17*Assumptions!$C$80+AF19*Assumptions!$C$81+AF20*Assumptions!$C$82)/30</f>
        <v>214.01288766661523</v>
      </c>
      <c r="AG55" s="34">
        <f>(AG15*Assumptions!$C$78+AG16*Assumptions!$C$79+AG17*Assumptions!$C$80+AG19*Assumptions!$C$81+AG20*Assumptions!$C$82)/30</f>
        <v>222.61465514011417</v>
      </c>
      <c r="AH55" s="34">
        <f>(AH15*Assumptions!$C$78+AH16*Assumptions!$C$79+AH17*Assumptions!$C$80+AH19*Assumptions!$C$81+AH20*Assumptions!$C$82)/30</f>
        <v>230.07534695184137</v>
      </c>
      <c r="AI55" s="34">
        <f>(AI15*Assumptions!$C$78+AI16*Assumptions!$C$79+AI17*Assumptions!$C$80+AI19*Assumptions!$C$81+AI20*Assumptions!$C$82)/30</f>
        <v>237.96658759716638</v>
      </c>
      <c r="AJ55" s="34">
        <f>(AJ15*Assumptions!$C$78+AJ16*Assumptions!$C$79+AJ17*Assumptions!$C$80+AJ19*Assumptions!$C$81+AJ20*Assumptions!$C$82)/30</f>
        <v>246.3132236054404</v>
      </c>
      <c r="AK55" s="34">
        <f>(AK15*Assumptions!$C$78+AK16*Assumptions!$C$79+AK17*Assumptions!$C$80+AK19*Assumptions!$C$81+AK20*Assumptions!$C$82)/30</f>
        <v>255.14153537361713</v>
      </c>
      <c r="AL55" s="34">
        <f>(AL15*Assumptions!$C$78+AL16*Assumptions!$C$79+AL17*Assumptions!$C$80+AL19*Assumptions!$C$81+AL20*Assumptions!$C$82)/30</f>
        <v>264.4793199132644</v>
      </c>
      <c r="AM55" s="34">
        <f>(AM15*Assumptions!$C$78+AM16*Assumptions!$C$79+AM17*Assumptions!$C$80+AM19*Assumptions!$C$81+AM20*Assumptions!$C$82)/30</f>
        <v>274.3559783728319</v>
      </c>
      <c r="AN55" s="34">
        <f>(AN15*Assumptions!$C$78+AN16*Assumptions!$C$79+AN17*Assumptions!$C$80+AN19*Assumptions!$C$81+AN20*Assumptions!$C$82)/30</f>
        <v>284.8026086107428</v>
      </c>
      <c r="AO55" s="34">
        <f>(AO15*Assumptions!$C$78+AO16*Assumptions!$C$79+AO17*Assumptions!$C$80+AO19*Assumptions!$C$81+AO20*Assumptions!$C$82)/30</f>
        <v>295.8521031107654</v>
      </c>
      <c r="AP55" s="34">
        <f>(AP15*Assumptions!$C$78+AP16*Assumptions!$C$79+AP17*Assumptions!$C$80+AP19*Assumptions!$C$81+AP20*Assumptions!$C$82)/30</f>
        <v>307.539252548004</v>
      </c>
      <c r="AQ55" s="34">
        <f>(AQ15*Assumptions!$C$78+AQ16*Assumptions!$C$79+AQ17*Assumptions!$C$80+AQ19*Assumptions!$C$81+AQ20*Assumptions!$C$82)/30</f>
        <v>319.9008553315615</v>
      </c>
      <c r="AR55" s="34">
        <f>(AR15*Assumptions!$C$78+AR16*Assumptions!$C$79+AR17*Assumptions!$C$80+AR19*Assumptions!$C$81+AR20*Assumptions!$C$82)/30</f>
        <v>396.24047716902584</v>
      </c>
      <c r="AS55" s="34">
        <f>(AS15*Assumptions!$C$78+AS16*Assumptions!$C$79+AS17*Assumptions!$C$80+AS19*Assumptions!$C$81+AS20*Assumptions!$C$82)/30</f>
        <v>409.87367157778993</v>
      </c>
      <c r="AT55" s="34">
        <f>(AT15*Assumptions!$C$78+AT16*Assumptions!$C$79+AT17*Assumptions!$C$80+AT19*Assumptions!$C$81+AT20*Assumptions!$C$82)/30</f>
        <v>416.7223225230161</v>
      </c>
      <c r="AU55" s="34">
        <f>(AU15*Assumptions!$C$78+AU16*Assumptions!$C$79+AU17*Assumptions!$C$80+AU19*Assumptions!$C$81+AU20*Assumptions!$C$82)/30</f>
        <v>423.75868440022595</v>
      </c>
      <c r="AV55" s="34">
        <f>(AV15*Assumptions!$C$78+AV16*Assumptions!$C$79+AV17*Assumptions!$C$80+AV19*Assumptions!$C$81+AV20*Assumptions!$C$82)/30</f>
        <v>430.98790207579697</v>
      </c>
      <c r="AW55" s="34">
        <f>(AW15*Assumptions!$C$78+AW16*Assumptions!$C$79+AW17*Assumptions!$C$80+AW19*Assumptions!$C$81+AW20*Assumptions!$C$82)/30</f>
        <v>438.4152614289348</v>
      </c>
      <c r="AX55" s="34">
        <f>(AX15*Assumptions!$C$78+AX16*Assumptions!$C$79+AX17*Assumptions!$C$80+AX19*Assumptions!$C$81+AX20*Assumptions!$C$82)/30</f>
        <v>446.0461932166298</v>
      </c>
      <c r="AY55" s="34">
        <f>(AY15*Assumptions!$C$78+AY16*Assumptions!$C$79+AY17*Assumptions!$C$80+AY19*Assumptions!$C$81+AY20*Assumptions!$C$82)/30</f>
        <v>453.88627704451795</v>
      </c>
      <c r="AZ55" s="34">
        <f>(AZ15*Assumptions!$C$78+AZ16*Assumptions!$C$79+AZ17*Assumptions!$C$80+AZ19*Assumptions!$C$81+AZ20*Assumptions!$C$82)/30</f>
        <v>461.9412454465963</v>
      </c>
      <c r="BA55" s="34">
        <f>(BA15*Assumptions!$C$78+BA16*Assumptions!$C$79+BA17*Assumptions!$C$80+BA19*Assumptions!$C$81+BA20*Assumptions!$C$82)/30</f>
        <v>470.2169880767569</v>
      </c>
      <c r="BB55" s="34">
        <f>(BB15*Assumptions!$C$78+BB16*Assumptions!$C$79+BB17*Assumptions!$C$80+BB19*Assumptions!$C$81+BB20*Assumptions!$C$82)/30</f>
        <v>478.71955601519676</v>
      </c>
      <c r="BC55" s="34">
        <f>(BC15*Assumptions!$C$78+BC16*Assumptions!$C$79+BC17*Assumptions!$C$80+BC19*Assumptions!$C$81+BC20*Assumptions!$C$82)/30</f>
        <v>487.45516619286144</v>
      </c>
    </row>
    <row r="56">
      <c r="A56" s="4" t="inlineStr">
        <is>
          <t>TDS withheld this month</t>
        </is>
      </c>
      <c r="B56" s="2" t="inlineStr">
        <is>
          <t>₹ lakh</t>
        </is>
      </c>
      <c r="C56" s="34">
        <f>Assumptions!$C$83*(C15+C16+C17+C20)</f>
        <v>0.1083456</v>
      </c>
      <c r="D56" s="34">
        <f>Assumptions!$C$83*(D15+D16+D17+D20)</f>
        <v>0.18960480000000005</v>
      </c>
      <c r="E56" s="34">
        <f>Assumptions!$C$83*(E15+E16+E17+E20)</f>
        <v>0.32735881728000005</v>
      </c>
      <c r="F56" s="34">
        <f>Assumptions!$C$83*(F15+F16+F17+F20)</f>
        <v>0.45098913024</v>
      </c>
      <c r="G56" s="34">
        <f>Assumptions!$C$83*(G15+G16+G17+G20)</f>
        <v>0.5746194431999999</v>
      </c>
      <c r="H56" s="34">
        <f>Assumptions!$C$83*(H15+H16+H17+H20)</f>
        <v>0.7419619078194122</v>
      </c>
      <c r="I56" s="34">
        <f>Assumptions!$C$83*(I15+I16+I17+I20)</f>
        <v>0.8532898063060788</v>
      </c>
      <c r="J56" s="34">
        <f>Assumptions!$C$83*(J15+J16+J17+J20)</f>
        <v>0.9639972185245563</v>
      </c>
      <c r="K56" s="34">
        <f>Assumptions!$C$83*(K15+K16+K17+K20)</f>
        <v>1.0902853205327199</v>
      </c>
      <c r="L56" s="34">
        <f>Assumptions!$C$83*(L15+L16+L17+L20)</f>
        <v>1.2343469004145593</v>
      </c>
      <c r="M56" s="34">
        <f>Assumptions!$C$83*(M15+M16+M17+M20)</f>
        <v>1.3986833538732717</v>
      </c>
      <c r="N56" s="34">
        <f>Assumptions!$C$83*(N15+N16+N17+N20)</f>
        <v>1.5861481169109655</v>
      </c>
      <c r="O56" s="34">
        <f>Assumptions!$C$83*(O15+O16+O17+O20)</f>
        <v>1.7999962111173398</v>
      </c>
      <c r="P56" s="34">
        <f>Assumptions!$C$83*(P15+P16+P17+P20)</f>
        <v>2.0439407618407377</v>
      </c>
      <c r="Q56" s="34">
        <f>Assumptions!$C$83*(Q15+Q16+Q17+Q20)</f>
        <v>2.322217470588069</v>
      </c>
      <c r="R56" s="34">
        <f>Assumptions!$C$83*(R15+R16+R17+R20)</f>
        <v>2.639658161112265</v>
      </c>
      <c r="S56" s="34">
        <f>Assumptions!$C$83*(S15+S16+S17+S20)</f>
        <v>3.0017746761957067</v>
      </c>
      <c r="T56" s="34">
        <f>Assumptions!$C$83*(T15+T16+T17+T20)</f>
        <v>3.454608794829839</v>
      </c>
      <c r="U56" s="34">
        <f>Assumptions!$C$83*(U15+U16+U17+U20)</f>
        <v>3.746692166813535</v>
      </c>
      <c r="V56" s="34">
        <f>Assumptions!$C$83*(V15+V16+V17+V20)</f>
        <v>3.99474056506534</v>
      </c>
      <c r="W56" s="34">
        <f>Assumptions!$C$83*(W15+W16+W17+W20)</f>
        <v>4.260469295795341</v>
      </c>
      <c r="X56" s="34">
        <f>Assumptions!$C$83*(X15+X16+X17+X20)</f>
        <v>4.545138573376012</v>
      </c>
      <c r="Y56" s="34">
        <f>Assumptions!$C$83*(Y15+Y16+Y17+Y20)</f>
        <v>4.85009843742863</v>
      </c>
      <c r="Z56" s="34">
        <f>Assumptions!$C$83*(Z15+Z16+Z17+Z20)</f>
        <v>5.176795155365286</v>
      </c>
      <c r="AA56" s="34">
        <f>Assumptions!$C$83*(AA15+AA16+AA17+AA20)</f>
        <v>5.5267780812894705</v>
      </c>
      <c r="AB56" s="34">
        <f>Assumptions!$C$83*(AB15+AB16+AB17+AB20)</f>
        <v>5.9017070037838435</v>
      </c>
      <c r="AC56" s="34">
        <f>Assumptions!$C$83*(AC15+AC16+AC17+AC20)</f>
        <v>6.303360017431918</v>
      </c>
      <c r="AD56" s="34">
        <f>Assumptions!$C$83*(AD15+AD16+AD17+AD20)</f>
        <v>6.733641955403729</v>
      </c>
      <c r="AE56" s="34">
        <f>Assumptions!$C$83*(AE15+AE16+AE17+AE20)</f>
        <v>7.194593423097691</v>
      </c>
      <c r="AF56" s="34">
        <f>Assumptions!$C$83*(AF15+AF16+AF17+AF20)</f>
        <v>7.7889037440345525</v>
      </c>
      <c r="AG56" s="34">
        <f>Assumptions!$C$83*(AG15+AG16+AG17+AG20)</f>
        <v>8.241819024117062</v>
      </c>
      <c r="AH56" s="34">
        <f>Assumptions!$C$83*(AH15+AH16+AH17+AH20)</f>
        <v>8.690515051644242</v>
      </c>
      <c r="AI56" s="34">
        <f>Assumptions!$C$83*(AI15+AI16+AI17+AI20)</f>
        <v>9.165104864381474</v>
      </c>
      <c r="AJ56" s="34">
        <f>Assumptions!$C$83*(AJ15+AJ16+AJ17+AJ20)</f>
        <v>9.667082765980513</v>
      </c>
      <c r="AK56" s="34">
        <f>Assumptions!$C$83*(AK15+AK16+AK17+AK20)</f>
        <v>10.198029294816537</v>
      </c>
      <c r="AL56" s="34">
        <f>Assumptions!$C$83*(AL15+AL16+AL17+AL20)</f>
        <v>10.759616200505175</v>
      </c>
      <c r="AM56" s="34">
        <f>Assumptions!$C$83*(AM15+AM16+AM17+AM20)</f>
        <v>11.353611707608746</v>
      </c>
      <c r="AN56" s="34">
        <f>Assumptions!$C$83*(AN15+AN16+AN17+AN20)</f>
        <v>11.981886083106579</v>
      </c>
      <c r="AO56" s="34">
        <f>Assumptions!$C$83*(AO15+AO16+AO17+AO20)</f>
        <v>12.646417525157347</v>
      </c>
      <c r="AP56" s="34">
        <f>Assumptions!$C$83*(AP15+AP16+AP17+AP20)</f>
        <v>13.349298391696154</v>
      </c>
      <c r="AQ56" s="34">
        <f>Assumptions!$C$83*(AQ15+AQ16+AQ17+AQ20)</f>
        <v>14.092741788477722</v>
      </c>
      <c r="AR56" s="34">
        <f>Assumptions!$C$83*(AR15+AR16+AR17+AR20)</f>
        <v>14.858774041311278</v>
      </c>
      <c r="AS56" s="34">
        <f>Assumptions!$C$83*(AS15+AS16+AS17+AS20)</f>
        <v>15.376655972374461</v>
      </c>
      <c r="AT56" s="34">
        <f>Assumptions!$C$83*(AT15+AT16+AT17+AT20)</f>
        <v>15.776179571932204</v>
      </c>
      <c r="AU56" s="34">
        <f>Assumptions!$C$83*(AU15+AU16+AU17+AU20)</f>
        <v>16.186653495549503</v>
      </c>
      <c r="AV56" s="34">
        <f>Assumptions!$C$83*(AV15+AV16+AV17+AV20)</f>
        <v>16.608377874675956</v>
      </c>
      <c r="AW56" s="34">
        <f>Assumptions!$C$83*(AW15+AW16+AW17+AW20)</f>
        <v>17.041661066899792</v>
      </c>
      <c r="AX56" s="34">
        <f>Assumptions!$C$83*(AX15+AX16+AX17+AX20)</f>
        <v>17.486819881414036</v>
      </c>
      <c r="AY56" s="34">
        <f>Assumptions!$C$83*(AY15+AY16+AY17+AY20)</f>
        <v>17.944179810661787</v>
      </c>
      <c r="AZ56" s="34">
        <f>Assumptions!$C$83*(AZ15+AZ16+AZ17+AZ20)</f>
        <v>18.414075268330645</v>
      </c>
      <c r="BA56" s="34">
        <f>Assumptions!$C$83*(BA15+BA16+BA17+BA20)</f>
        <v>18.896849833870196</v>
      </c>
      <c r="BB56" s="34">
        <f>Assumptions!$C$83*(BB15+BB16+BB17+BB20)</f>
        <v>19.39285650371175</v>
      </c>
      <c r="BC56" s="34">
        <f>Assumptions!$C$83*(BC15+BC16+BC17+BC20)</f>
        <v>19.90245794937264</v>
      </c>
    </row>
    <row r="57">
      <c r="A57" s="4" t="inlineStr">
        <is>
          <t>TDS awaiting refund (trailing 12 months)</t>
        </is>
      </c>
      <c r="B57" s="2" t="inlineStr">
        <is>
          <t>₹ lakh</t>
        </is>
      </c>
      <c r="C57" s="34">
        <f>SUM(C56:C56)</f>
        <v>0.1083456</v>
      </c>
      <c r="D57" s="34">
        <f>SUM(C56:D56)</f>
        <v>0.29795040000000006</v>
      </c>
      <c r="E57" s="34">
        <f>SUM(C56:E56)</f>
        <v>0.6253092172800001</v>
      </c>
      <c r="F57" s="34">
        <f>SUM(C56:F56)</f>
        <v>1.07629834752</v>
      </c>
      <c r="G57" s="34">
        <f>SUM(C56:G56)</f>
        <v>1.65091779072</v>
      </c>
      <c r="H57" s="34">
        <f>SUM(C56:H56)</f>
        <v>2.392879698539412</v>
      </c>
      <c r="I57" s="34">
        <f>SUM(C56:I56)</f>
        <v>3.246169504845491</v>
      </c>
      <c r="J57" s="34">
        <f>SUM(C56:J56)</f>
        <v>4.2101667233700475</v>
      </c>
      <c r="K57" s="34">
        <f>SUM(C56:K56)</f>
        <v>5.300452043902768</v>
      </c>
      <c r="L57" s="34">
        <f>SUM(C56:L56)</f>
        <v>6.534798944317327</v>
      </c>
      <c r="M57" s="34">
        <f>SUM(C56:M56)</f>
        <v>7.933482298190599</v>
      </c>
      <c r="N57" s="34">
        <f>SUM(C56:N56)</f>
        <v>9.519630415101565</v>
      </c>
      <c r="O57" s="34">
        <f>SUM(D56:O56)</f>
        <v>11.211281026218906</v>
      </c>
      <c r="P57" s="34">
        <f>SUM(E56:P56)</f>
        <v>13.065616988059642</v>
      </c>
      <c r="Q57" s="34">
        <f>SUM(F56:Q56)</f>
        <v>15.06047564136771</v>
      </c>
      <c r="R57" s="34">
        <f>SUM(G56:R56)</f>
        <v>17.249144672239975</v>
      </c>
      <c r="S57" s="34">
        <f>SUM(H56:S56)</f>
        <v>19.67629990523568</v>
      </c>
      <c r="T57" s="34">
        <f>SUM(I56:T56)</f>
        <v>22.38894679224611</v>
      </c>
      <c r="U57" s="34">
        <f>SUM(J56:U56)</f>
        <v>25.282349152753564</v>
      </c>
      <c r="V57" s="34">
        <f>SUM(K56:V56)</f>
        <v>28.31309249929435</v>
      </c>
      <c r="W57" s="34">
        <f>SUM(L56:W56)</f>
        <v>31.483276474556966</v>
      </c>
      <c r="X57" s="34">
        <f>SUM(M56:X56)</f>
        <v>34.79406814751842</v>
      </c>
      <c r="Y57" s="34">
        <f>SUM(N56:Y56)</f>
        <v>38.245483231073784</v>
      </c>
      <c r="Z57" s="34">
        <f>SUM(O56:Z56)</f>
        <v>41.8361302695281</v>
      </c>
      <c r="AA57" s="34">
        <f>SUM(P56:AA56)</f>
        <v>45.56291213970023</v>
      </c>
      <c r="AB57" s="34">
        <f>SUM(Q56:AB56)</f>
        <v>49.420678381643334</v>
      </c>
      <c r="AC57" s="34">
        <f>SUM(R56:AC56)</f>
        <v>53.40182092848719</v>
      </c>
      <c r="AD57" s="34">
        <f>SUM(S56:AD56)</f>
        <v>57.49580472277865</v>
      </c>
      <c r="AE57" s="34">
        <f>SUM(T56:AE56)</f>
        <v>61.688623469680635</v>
      </c>
      <c r="AF57" s="34">
        <f>SUM(U56:AF56)</f>
        <v>66.02291841888535</v>
      </c>
      <c r="AG57" s="34">
        <f>SUM(V56:AG56)</f>
        <v>70.51804527618887</v>
      </c>
      <c r="AH57" s="34">
        <f>SUM(W56:AH56)</f>
        <v>75.21381976276778</v>
      </c>
      <c r="AI57" s="34">
        <f>SUM(X56:AI56)</f>
        <v>80.11845533135391</v>
      </c>
      <c r="AJ57" s="34">
        <f>SUM(Y56:AJ56)</f>
        <v>85.24039952395842</v>
      </c>
      <c r="AK57" s="34">
        <f>SUM(Z56:AK56)</f>
        <v>90.58833038134631</v>
      </c>
      <c r="AL57" s="34">
        <f>SUM(AA56:AL56)</f>
        <v>96.1711514264862</v>
      </c>
      <c r="AM57" s="34">
        <f>SUM(AB56:AM56)</f>
        <v>101.99798505280549</v>
      </c>
      <c r="AN57" s="34">
        <f>SUM(AC56:AN56)</f>
        <v>108.07816413212822</v>
      </c>
      <c r="AO57" s="34">
        <f>SUM(AD56:AO56)</f>
        <v>114.42122163985366</v>
      </c>
      <c r="AP57" s="34">
        <f>SUM(AE56:AP56)</f>
        <v>121.03687807614607</v>
      </c>
      <c r="AQ57" s="34">
        <f>SUM(AF56:AQ56)</f>
        <v>127.93502644152609</v>
      </c>
      <c r="AR57" s="34">
        <f>SUM(AG56:AR56)</f>
        <v>135.0048967388028</v>
      </c>
      <c r="AS57" s="34">
        <f>SUM(AH56:AS56)</f>
        <v>142.13973368706024</v>
      </c>
      <c r="AT57" s="34">
        <f>SUM(AI56:AT56)</f>
        <v>149.22539820734818</v>
      </c>
      <c r="AU57" s="34">
        <f>SUM(AJ56:AU56)</f>
        <v>156.24694683851624</v>
      </c>
      <c r="AV57" s="34">
        <f>SUM(AK56:AV56)</f>
        <v>163.18824194721168</v>
      </c>
      <c r="AW57" s="34">
        <f>SUM(AL56:AW56)</f>
        <v>170.03187371929494</v>
      </c>
      <c r="AX57" s="34">
        <f>SUM(AM56:AX56)</f>
        <v>176.7590774002038</v>
      </c>
      <c r="AY57" s="34">
        <f>SUM(AN56:AY56)</f>
        <v>183.34964550325682</v>
      </c>
      <c r="AZ57" s="34">
        <f>SUM(AO56:AZ56)</f>
        <v>189.78183468848087</v>
      </c>
      <c r="BA57" s="34">
        <f>SUM(AP56:BA56)</f>
        <v>196.03226699719372</v>
      </c>
      <c r="BB57" s="34">
        <f>SUM(AQ56:BB56)</f>
        <v>202.07582510920932</v>
      </c>
      <c r="BC57" s="34">
        <f>SUM(AR56:BC56)</f>
        <v>207.88554127010423</v>
      </c>
    </row>
    <row r="58">
      <c r="A58" s="4" t="inlineStr">
        <is>
          <t>Working capital</t>
        </is>
      </c>
      <c r="B58" s="2" t="inlineStr">
        <is>
          <t>₹ lakh</t>
        </is>
      </c>
      <c r="C58" s="34">
        <f>C55+C57</f>
        <v>0.1083456</v>
      </c>
      <c r="D58" s="34">
        <f>D55+D57</f>
        <v>0.29795040000000006</v>
      </c>
      <c r="E58" s="34">
        <f>E55+E57</f>
        <v>3.66293968128</v>
      </c>
      <c r="F58" s="34">
        <f>F55+F57</f>
        <v>6.39215165952</v>
      </c>
      <c r="G58" s="34">
        <f>G55+G57</f>
        <v>9.24499395072</v>
      </c>
      <c r="H58" s="34">
        <f>H55+H57</f>
        <v>25.464087463872744</v>
      </c>
      <c r="I58" s="34">
        <f>I55+I57</f>
        <v>28.564579062178822</v>
      </c>
      <c r="J58" s="34">
        <f>J55+J57</f>
        <v>31.215326526327434</v>
      </c>
      <c r="K58" s="34">
        <f>K55+K57</f>
        <v>34.2297511868825</v>
      </c>
      <c r="L58" s="34">
        <f>L55+L57</f>
        <v>37.65903608088979</v>
      </c>
      <c r="M58" s="34">
        <f>M55+M57</f>
        <v>41.5615676205504</v>
      </c>
      <c r="N58" s="34">
        <f>N55+N57</f>
        <v>46.00394937858043</v>
      </c>
      <c r="O58" s="34">
        <f>O55+O57</f>
        <v>50.953812951238056</v>
      </c>
      <c r="P58" s="34">
        <f>P55+P57</f>
        <v>56.52491477911927</v>
      </c>
      <c r="Q58" s="34">
        <f>Q55+Q57</f>
        <v>62.75962781457714</v>
      </c>
      <c r="R58" s="34">
        <f>R55+R57</f>
        <v>69.78485793908271</v>
      </c>
      <c r="S58" s="34">
        <f>S55+S57</f>
        <v>77.72926001690652</v>
      </c>
      <c r="T58" s="34">
        <f>T55+T57</f>
        <v>126.03143366553405</v>
      </c>
      <c r="U58" s="34">
        <f>U55+U57</f>
        <v>136.005222959311</v>
      </c>
      <c r="V58" s="34">
        <f>V55+V57</f>
        <v>143.1265638000909</v>
      </c>
      <c r="W58" s="34">
        <f>W55+W57</f>
        <v>150.6789138676663</v>
      </c>
      <c r="X58" s="34">
        <f>X55+X57</f>
        <v>158.68422258554943</v>
      </c>
      <c r="Y58" s="34">
        <f>Y55+Y57</f>
        <v>167.16476934070295</v>
      </c>
      <c r="Z58" s="34">
        <f>Z55+Z57</f>
        <v>176.14301325616364</v>
      </c>
      <c r="AA58" s="34">
        <f>AA55+AA57</f>
        <v>185.64140780314324</v>
      </c>
      <c r="AB58" s="34">
        <f>AB55+AB57</f>
        <v>195.68217430504635</v>
      </c>
      <c r="AC58" s="34">
        <f>AC55+AC57</f>
        <v>206.28702747756728</v>
      </c>
      <c r="AD58" s="34">
        <f>AD55+AD57</f>
        <v>217.47684510787096</v>
      </c>
      <c r="AE58" s="34">
        <f>AE55+AE57</f>
        <v>229.27127278272408</v>
      </c>
      <c r="AF58" s="34">
        <f>AF55+AF57</f>
        <v>280.03580608550055</v>
      </c>
      <c r="AG58" s="34">
        <f>AG55+AG57</f>
        <v>293.132700416303</v>
      </c>
      <c r="AH58" s="34">
        <f>AH55+AH57</f>
        <v>305.28916671460917</v>
      </c>
      <c r="AI58" s="34">
        <f>AI55+AI57</f>
        <v>318.0850429285203</v>
      </c>
      <c r="AJ58" s="34">
        <f>AJ55+AJ57</f>
        <v>331.55362312939883</v>
      </c>
      <c r="AK58" s="34">
        <f>AK55+AK57</f>
        <v>345.72986575496344</v>
      </c>
      <c r="AL58" s="34">
        <f>AL55+AL57</f>
        <v>360.65047133975065</v>
      </c>
      <c r="AM58" s="34">
        <f>AM55+AM57</f>
        <v>376.3539634256374</v>
      </c>
      <c r="AN58" s="34">
        <f>AN55+AN57</f>
        <v>392.88077274287105</v>
      </c>
      <c r="AO58" s="34">
        <f>AO55+AO57</f>
        <v>410.27332475061905</v>
      </c>
      <c r="AP58" s="34">
        <f>AP55+AP57</f>
        <v>428.5761306241501</v>
      </c>
      <c r="AQ58" s="34">
        <f>AQ55+AQ57</f>
        <v>447.8358817730876</v>
      </c>
      <c r="AR58" s="34">
        <f>AR55+AR57</f>
        <v>531.2453739078287</v>
      </c>
      <c r="AS58" s="34">
        <f>AS55+AS57</f>
        <v>552.0134052648502</v>
      </c>
      <c r="AT58" s="34">
        <f>AT55+AT57</f>
        <v>565.9477207303643</v>
      </c>
      <c r="AU58" s="34">
        <f>AU55+AU57</f>
        <v>580.0056312387421</v>
      </c>
      <c r="AV58" s="34">
        <f>AV55+AV57</f>
        <v>594.1761440230086</v>
      </c>
      <c r="AW58" s="34">
        <f>AW55+AW57</f>
        <v>608.4471351482298</v>
      </c>
      <c r="AX58" s="34">
        <f>AX55+AX57</f>
        <v>622.8052706168336</v>
      </c>
      <c r="AY58" s="34">
        <f>AY55+AY57</f>
        <v>637.2359225477747</v>
      </c>
      <c r="AZ58" s="34">
        <f>AZ55+AZ57</f>
        <v>651.7230801350772</v>
      </c>
      <c r="BA58" s="34">
        <f>BA55+BA57</f>
        <v>666.2492550739506</v>
      </c>
      <c r="BB58" s="34">
        <f>BB55+BB57</f>
        <v>680.795381124406</v>
      </c>
      <c r="BC58" s="34">
        <f>BC55+BC57</f>
        <v>695.3407074629656</v>
      </c>
    </row>
    <row r="59">
      <c r="A59" s="4" t="inlineStr">
        <is>
          <t>Increase in working capital</t>
        </is>
      </c>
      <c r="B59" s="2" t="inlineStr">
        <is>
          <t>₹ lakh</t>
        </is>
      </c>
      <c r="C59" s="34">
        <f>C58</f>
        <v>0.1083456</v>
      </c>
      <c r="D59" s="34">
        <f>D58-C58</f>
        <v>0.18960480000000007</v>
      </c>
      <c r="E59" s="34">
        <f>E58-D58</f>
        <v>3.36498928128</v>
      </c>
      <c r="F59" s="34">
        <f>F58-E58</f>
        <v>2.7292119782399995</v>
      </c>
      <c r="G59" s="34">
        <f>G58-F58</f>
        <v>2.8528422912</v>
      </c>
      <c r="H59" s="34">
        <f>H58-G58</f>
        <v>16.219093513152743</v>
      </c>
      <c r="I59" s="34">
        <f>I58-H58</f>
        <v>3.1004915983060783</v>
      </c>
      <c r="J59" s="34">
        <f>J58-I58</f>
        <v>2.650747464148612</v>
      </c>
      <c r="K59" s="34">
        <f>K58-J58</f>
        <v>3.0144246605550684</v>
      </c>
      <c r="L59" s="34">
        <f>L58-K58</f>
        <v>3.4292848940072886</v>
      </c>
      <c r="M59" s="34">
        <f>M58-L58</f>
        <v>3.9025315396606075</v>
      </c>
      <c r="N59" s="34">
        <f>N58-M58</f>
        <v>4.442381758030031</v>
      </c>
      <c r="O59" s="34">
        <f>O58-N58</f>
        <v>4.949863572657627</v>
      </c>
      <c r="P59" s="34">
        <f>P58-O58</f>
        <v>5.571101827881215</v>
      </c>
      <c r="Q59" s="34">
        <f>Q58-P58</f>
        <v>6.234713035457865</v>
      </c>
      <c r="R59" s="34">
        <f>R58-Q58</f>
        <v>7.025230124505576</v>
      </c>
      <c r="S59" s="34">
        <f>S58-R58</f>
        <v>7.94440207782381</v>
      </c>
      <c r="T59" s="34">
        <f>T58-S58</f>
        <v>48.30217364862753</v>
      </c>
      <c r="U59" s="34">
        <f>U58-T58</f>
        <v>9.973789293776946</v>
      </c>
      <c r="V59" s="34">
        <f>V58-U58</f>
        <v>7.121340840779908</v>
      </c>
      <c r="W59" s="34">
        <f>W58-V58</f>
        <v>7.552350067575389</v>
      </c>
      <c r="X59" s="34">
        <f>X58-W58</f>
        <v>8.005308717883139</v>
      </c>
      <c r="Y59" s="34">
        <f>Y58-X58</f>
        <v>8.480546755153512</v>
      </c>
      <c r="Z59" s="34">
        <f>Z58-Y58</f>
        <v>8.978243915460695</v>
      </c>
      <c r="AA59" s="34">
        <f>AA58-Z58</f>
        <v>9.498394546979597</v>
      </c>
      <c r="AB59" s="34">
        <f>AB58-AA58</f>
        <v>10.040766501903107</v>
      </c>
      <c r="AC59" s="34">
        <f>AC58-AB58</f>
        <v>10.604853172520933</v>
      </c>
      <c r="AD59" s="34">
        <f>AD58-AC58</f>
        <v>11.18981763030368</v>
      </c>
      <c r="AE59" s="34">
        <f>AE58-AD58</f>
        <v>11.794427674853125</v>
      </c>
      <c r="AF59" s="34">
        <f>AF58-AE58</f>
        <v>50.76453330277647</v>
      </c>
      <c r="AG59" s="34">
        <f>AG58-AF58</f>
        <v>13.096894330802456</v>
      </c>
      <c r="AH59" s="34">
        <f>AH58-AG58</f>
        <v>12.156466298306157</v>
      </c>
      <c r="AI59" s="34">
        <f>AI58-AH58</f>
        <v>12.795876213911129</v>
      </c>
      <c r="AJ59" s="34">
        <f>AJ58-AI58</f>
        <v>13.468580200878534</v>
      </c>
      <c r="AK59" s="34">
        <f>AK58-AJ58</f>
        <v>14.176242625564612</v>
      </c>
      <c r="AL59" s="34">
        <f>AL58-AK58</f>
        <v>14.92060558478721</v>
      </c>
      <c r="AM59" s="34">
        <f>AM58-AL58</f>
        <v>15.70349208588675</v>
      </c>
      <c r="AN59" s="34">
        <f>AN58-AM58</f>
        <v>16.526809317233642</v>
      </c>
      <c r="AO59" s="34">
        <f>AO58-AN58</f>
        <v>17.39255200774801</v>
      </c>
      <c r="AP59" s="34">
        <f>AP58-AO58</f>
        <v>18.302805873531042</v>
      </c>
      <c r="AQ59" s="34">
        <f>AQ58-AP58</f>
        <v>19.259751148937482</v>
      </c>
      <c r="AR59" s="34">
        <f>AR58-AQ58</f>
        <v>83.40949213474113</v>
      </c>
      <c r="AS59" s="34">
        <f>AS58-AR58</f>
        <v>20.768031357021528</v>
      </c>
      <c r="AT59" s="34">
        <f>AT58-AS58</f>
        <v>13.934315465514032</v>
      </c>
      <c r="AU59" s="34">
        <f>AU58-AT58</f>
        <v>14.057910508377859</v>
      </c>
      <c r="AV59" s="34">
        <f>AV58-AU58</f>
        <v>14.17051278426652</v>
      </c>
      <c r="AW59" s="34">
        <f>AW58-AV58</f>
        <v>14.270991125221144</v>
      </c>
      <c r="AX59" s="34">
        <f>AX58-AW58</f>
        <v>14.358135468603791</v>
      </c>
      <c r="AY59" s="34">
        <f>AY58-AX58</f>
        <v>14.430651930941167</v>
      </c>
      <c r="AZ59" s="34">
        <f>AZ58-AY58</f>
        <v>14.487157587302477</v>
      </c>
      <c r="BA59" s="34">
        <f>BA58-AZ58</f>
        <v>14.526174938873396</v>
      </c>
      <c r="BB59" s="34">
        <f>BB58-BA58</f>
        <v>14.546126050455428</v>
      </c>
      <c r="BC59" s="34">
        <f>BC58-BB58</f>
        <v>14.545326338559562</v>
      </c>
    </row>
    <row r="60">
      <c r="A60" s="13" t="inlineStr">
        <is>
          <t>Cash</t>
        </is>
      </c>
      <c r="B60" s="14" t="n"/>
    </row>
    <row r="61">
      <c r="A61" s="4" t="inlineStr">
        <is>
          <t>Equity raised</t>
        </is>
      </c>
      <c r="B61" s="2" t="inlineStr">
        <is>
          <t>₹ lakh</t>
        </is>
      </c>
      <c r="C61" s="34">
        <f>IF(C8=1,Assumptions!$C$87,0)+IF(C8=Assumptions!$C$90,Assumptions!$C$89,0)</f>
        <v>600.0</v>
      </c>
      <c r="D61" s="34">
        <f>IF(D8=1,Assumptions!$C$87,0)+IF(D8=Assumptions!$C$90,Assumptions!$C$89,0)</f>
        <v>0.0</v>
      </c>
      <c r="E61" s="34">
        <f>IF(E8=1,Assumptions!$C$87,0)+IF(E8=Assumptions!$C$90,Assumptions!$C$89,0)</f>
        <v>0.0</v>
      </c>
      <c r="F61" s="34">
        <f>IF(F8=1,Assumptions!$C$87,0)+IF(F8=Assumptions!$C$90,Assumptions!$C$89,0)</f>
        <v>0.0</v>
      </c>
      <c r="G61" s="34">
        <f>IF(G8=1,Assumptions!$C$87,0)+IF(G8=Assumptions!$C$90,Assumptions!$C$89,0)</f>
        <v>0.0</v>
      </c>
      <c r="H61" s="34">
        <f>IF(H8=1,Assumptions!$C$87,0)+IF(H8=Assumptions!$C$90,Assumptions!$C$89,0)</f>
        <v>0.0</v>
      </c>
      <c r="I61" s="34">
        <f>IF(I8=1,Assumptions!$C$87,0)+IF(I8=Assumptions!$C$90,Assumptions!$C$89,0)</f>
        <v>0.0</v>
      </c>
      <c r="J61" s="34">
        <f>IF(J8=1,Assumptions!$C$87,0)+IF(J8=Assumptions!$C$90,Assumptions!$C$89,0)</f>
        <v>0.0</v>
      </c>
      <c r="K61" s="34">
        <f>IF(K8=1,Assumptions!$C$87,0)+IF(K8=Assumptions!$C$90,Assumptions!$C$89,0)</f>
        <v>0.0</v>
      </c>
      <c r="L61" s="34">
        <f>IF(L8=1,Assumptions!$C$87,0)+IF(L8=Assumptions!$C$90,Assumptions!$C$89,0)</f>
        <v>0.0</v>
      </c>
      <c r="M61" s="34">
        <f>IF(M8=1,Assumptions!$C$87,0)+IF(M8=Assumptions!$C$90,Assumptions!$C$89,0)</f>
        <v>0.0</v>
      </c>
      <c r="N61" s="34">
        <f>IF(N8=1,Assumptions!$C$87,0)+IF(N8=Assumptions!$C$90,Assumptions!$C$89,0)</f>
        <v>0.0</v>
      </c>
      <c r="O61" s="34">
        <f>IF(O8=1,Assumptions!$C$87,0)+IF(O8=Assumptions!$C$90,Assumptions!$C$89,0)</f>
        <v>0.0</v>
      </c>
      <c r="P61" s="34">
        <f>IF(P8=1,Assumptions!$C$87,0)+IF(P8=Assumptions!$C$90,Assumptions!$C$89,0)</f>
        <v>0.0</v>
      </c>
      <c r="Q61" s="34">
        <f>IF(Q8=1,Assumptions!$C$87,0)+IF(Q8=Assumptions!$C$90,Assumptions!$C$89,0)</f>
        <v>0.0</v>
      </c>
      <c r="R61" s="34">
        <f>IF(R8=1,Assumptions!$C$87,0)+IF(R8=Assumptions!$C$90,Assumptions!$C$89,0)</f>
        <v>0.0</v>
      </c>
      <c r="S61" s="34">
        <f>IF(S8=1,Assumptions!$C$87,0)+IF(S8=Assumptions!$C$90,Assumptions!$C$89,0)</f>
        <v>0.0</v>
      </c>
      <c r="T61" s="34">
        <f>IF(T8=1,Assumptions!$C$87,0)+IF(T8=Assumptions!$C$90,Assumptions!$C$89,0)</f>
        <v>0.0</v>
      </c>
      <c r="U61" s="34">
        <f>IF(U8=1,Assumptions!$C$87,0)+IF(U8=Assumptions!$C$90,Assumptions!$C$89,0)</f>
        <v>0.0</v>
      </c>
      <c r="V61" s="34">
        <f>IF(V8=1,Assumptions!$C$87,0)+IF(V8=Assumptions!$C$90,Assumptions!$C$89,0)</f>
        <v>0.0</v>
      </c>
      <c r="W61" s="34">
        <f>IF(W8=1,Assumptions!$C$87,0)+IF(W8=Assumptions!$C$90,Assumptions!$C$89,0)</f>
        <v>0.0</v>
      </c>
      <c r="X61" s="34">
        <f>IF(X8=1,Assumptions!$C$87,0)+IF(X8=Assumptions!$C$90,Assumptions!$C$89,0)</f>
        <v>0.0</v>
      </c>
      <c r="Y61" s="34">
        <f>IF(Y8=1,Assumptions!$C$87,0)+IF(Y8=Assumptions!$C$90,Assumptions!$C$89,0)</f>
        <v>0.0</v>
      </c>
      <c r="Z61" s="34">
        <f>IF(Z8=1,Assumptions!$C$87,0)+IF(Z8=Assumptions!$C$90,Assumptions!$C$89,0)</f>
        <v>0.0</v>
      </c>
      <c r="AA61" s="34">
        <f>IF(AA8=1,Assumptions!$C$87,0)+IF(AA8=Assumptions!$C$90,Assumptions!$C$89,0)</f>
        <v>0.0</v>
      </c>
      <c r="AB61" s="34">
        <f>IF(AB8=1,Assumptions!$C$87,0)+IF(AB8=Assumptions!$C$90,Assumptions!$C$89,0)</f>
        <v>0.0</v>
      </c>
      <c r="AC61" s="34">
        <f>IF(AC8=1,Assumptions!$C$87,0)+IF(AC8=Assumptions!$C$90,Assumptions!$C$89,0)</f>
        <v>0.0</v>
      </c>
      <c r="AD61" s="34">
        <f>IF(AD8=1,Assumptions!$C$87,0)+IF(AD8=Assumptions!$C$90,Assumptions!$C$89,0)</f>
        <v>0.0</v>
      </c>
      <c r="AE61" s="34">
        <f>IF(AE8=1,Assumptions!$C$87,0)+IF(AE8=Assumptions!$C$90,Assumptions!$C$89,0)</f>
        <v>0.0</v>
      </c>
      <c r="AF61" s="34">
        <f>IF(AF8=1,Assumptions!$C$87,0)+IF(AF8=Assumptions!$C$90,Assumptions!$C$89,0)</f>
        <v>0.0</v>
      </c>
      <c r="AG61" s="34">
        <f>IF(AG8=1,Assumptions!$C$87,0)+IF(AG8=Assumptions!$C$90,Assumptions!$C$89,0)</f>
        <v>0.0</v>
      </c>
      <c r="AH61" s="34">
        <f>IF(AH8=1,Assumptions!$C$87,0)+IF(AH8=Assumptions!$C$90,Assumptions!$C$89,0)</f>
        <v>0.0</v>
      </c>
      <c r="AI61" s="34">
        <f>IF(AI8=1,Assumptions!$C$87,0)+IF(AI8=Assumptions!$C$90,Assumptions!$C$89,0)</f>
        <v>0.0</v>
      </c>
      <c r="AJ61" s="34">
        <f>IF(AJ8=1,Assumptions!$C$87,0)+IF(AJ8=Assumptions!$C$90,Assumptions!$C$89,0)</f>
        <v>0.0</v>
      </c>
      <c r="AK61" s="34">
        <f>IF(AK8=1,Assumptions!$C$87,0)+IF(AK8=Assumptions!$C$90,Assumptions!$C$89,0)</f>
        <v>0.0</v>
      </c>
      <c r="AL61" s="34">
        <f>IF(AL8=1,Assumptions!$C$87,0)+IF(AL8=Assumptions!$C$90,Assumptions!$C$89,0)</f>
        <v>0.0</v>
      </c>
      <c r="AM61" s="34">
        <f>IF(AM8=1,Assumptions!$C$87,0)+IF(AM8=Assumptions!$C$90,Assumptions!$C$89,0)</f>
        <v>0.0</v>
      </c>
      <c r="AN61" s="34">
        <f>IF(AN8=1,Assumptions!$C$87,0)+IF(AN8=Assumptions!$C$90,Assumptions!$C$89,0)</f>
        <v>0.0</v>
      </c>
      <c r="AO61" s="34">
        <f>IF(AO8=1,Assumptions!$C$87,0)+IF(AO8=Assumptions!$C$90,Assumptions!$C$89,0)</f>
        <v>0.0</v>
      </c>
      <c r="AP61" s="34">
        <f>IF(AP8=1,Assumptions!$C$87,0)+IF(AP8=Assumptions!$C$90,Assumptions!$C$89,0)</f>
        <v>0.0</v>
      </c>
      <c r="AQ61" s="34">
        <f>IF(AQ8=1,Assumptions!$C$87,0)+IF(AQ8=Assumptions!$C$90,Assumptions!$C$89,0)</f>
        <v>0.0</v>
      </c>
      <c r="AR61" s="34">
        <f>IF(AR8=1,Assumptions!$C$87,0)+IF(AR8=Assumptions!$C$90,Assumptions!$C$89,0)</f>
        <v>0.0</v>
      </c>
      <c r="AS61" s="34">
        <f>IF(AS8=1,Assumptions!$C$87,0)+IF(AS8=Assumptions!$C$90,Assumptions!$C$89,0)</f>
        <v>0.0</v>
      </c>
      <c r="AT61" s="34">
        <f>IF(AT8=1,Assumptions!$C$87,0)+IF(AT8=Assumptions!$C$90,Assumptions!$C$89,0)</f>
        <v>0.0</v>
      </c>
      <c r="AU61" s="34">
        <f>IF(AU8=1,Assumptions!$C$87,0)+IF(AU8=Assumptions!$C$90,Assumptions!$C$89,0)</f>
        <v>0.0</v>
      </c>
      <c r="AV61" s="34">
        <f>IF(AV8=1,Assumptions!$C$87,0)+IF(AV8=Assumptions!$C$90,Assumptions!$C$89,0)</f>
        <v>0.0</v>
      </c>
      <c r="AW61" s="34">
        <f>IF(AW8=1,Assumptions!$C$87,0)+IF(AW8=Assumptions!$C$90,Assumptions!$C$89,0)</f>
        <v>0.0</v>
      </c>
      <c r="AX61" s="34">
        <f>IF(AX8=1,Assumptions!$C$87,0)+IF(AX8=Assumptions!$C$90,Assumptions!$C$89,0)</f>
        <v>0.0</v>
      </c>
      <c r="AY61" s="34">
        <f>IF(AY8=1,Assumptions!$C$87,0)+IF(AY8=Assumptions!$C$90,Assumptions!$C$89,0)</f>
        <v>0.0</v>
      </c>
      <c r="AZ61" s="34">
        <f>IF(AZ8=1,Assumptions!$C$87,0)+IF(AZ8=Assumptions!$C$90,Assumptions!$C$89,0)</f>
        <v>0.0</v>
      </c>
      <c r="BA61" s="34">
        <f>IF(BA8=1,Assumptions!$C$87,0)+IF(BA8=Assumptions!$C$90,Assumptions!$C$89,0)</f>
        <v>0.0</v>
      </c>
      <c r="BB61" s="34">
        <f>IF(BB8=1,Assumptions!$C$87,0)+IF(BB8=Assumptions!$C$90,Assumptions!$C$89,0)</f>
        <v>0.0</v>
      </c>
      <c r="BC61" s="34">
        <f>IF(BC8=1,Assumptions!$C$87,0)+IF(BC8=Assumptions!$C$90,Assumptions!$C$89,0)</f>
        <v>0.0</v>
      </c>
    </row>
    <row r="62">
      <c r="A62" s="4" t="inlineStr">
        <is>
          <t>Opening cash</t>
        </is>
      </c>
      <c r="B62" s="2" t="inlineStr">
        <is>
          <t>₹ lakh</t>
        </is>
      </c>
      <c r="C62" s="34">
        <f>Assumptions!$C$86</f>
        <v>20.0</v>
      </c>
      <c r="D62" s="34">
        <f>C64</f>
        <v>602.6885209</v>
      </c>
      <c r="E62" s="34">
        <f>D64</f>
        <v>587.0932646</v>
      </c>
      <c r="F62" s="34">
        <f>E64</f>
        <v>569.8505044568</v>
      </c>
      <c r="G62" s="34">
        <f>F64</f>
        <v>554.0864025952</v>
      </c>
      <c r="H62" s="34">
        <f>G64</f>
        <v>539.0415513992</v>
      </c>
      <c r="I62" s="34">
        <f>H64</f>
        <v>499.356807699173</v>
      </c>
      <c r="J62" s="34">
        <f>I64</f>
        <v>480.43377166045485</v>
      </c>
      <c r="K62" s="34">
        <f>J64</f>
        <v>463.0840735729532</v>
      </c>
      <c r="L62" s="34">
        <f>K64</f>
        <v>446.914101499361</v>
      </c>
      <c r="M62" s="34">
        <f>L64</f>
        <v>432.3515647407084</v>
      </c>
      <c r="N62" s="34">
        <f>M64</f>
        <v>419.88436735649765</v>
      </c>
      <c r="O62" s="34">
        <f>N64</f>
        <v>410.0690798274388</v>
      </c>
      <c r="P62" s="34">
        <f>O64</f>
        <v>403.6489485992305</v>
      </c>
      <c r="Q62" s="34">
        <f>P64</f>
        <v>401.3211425060975</v>
      </c>
      <c r="R62" s="34">
        <f>Q64</f>
        <v>403.9683415056533</v>
      </c>
      <c r="S62" s="34">
        <f>R64</f>
        <v>412.518882305119</v>
      </c>
      <c r="T62" s="34">
        <f>S64</f>
        <v>428.0478648838572</v>
      </c>
      <c r="U62" s="34">
        <f>T64</f>
        <v>418.805745608439</v>
      </c>
      <c r="V62" s="34">
        <f>U64</f>
        <v>457.8158404193379</v>
      </c>
      <c r="W62" s="34">
        <f>V64</f>
        <v>505.7368872604978</v>
      </c>
      <c r="X62" s="34">
        <f>W64</f>
        <v>559.8145726665293</v>
      </c>
      <c r="Y62" s="34">
        <f>X64</f>
        <v>620.5938076389729</v>
      </c>
      <c r="Z62" s="34">
        <f>Y64</f>
        <v>688.6595777533155</v>
      </c>
      <c r="AA62" s="34">
        <f>Z64</f>
        <v>764.639973331008</v>
      </c>
      <c r="AB62" s="34">
        <f>AA64</f>
        <v>849.2094600479859</v>
      </c>
      <c r="AC62" s="34">
        <f>AB64</f>
        <v>943.0924105588662</v>
      </c>
      <c r="AD62" s="34">
        <f>AC64</f>
        <v>1047.0669196671809</v>
      </c>
      <c r="AE62" s="34">
        <f>AD64</f>
        <v>1161.9689277303983</v>
      </c>
      <c r="AF62" s="34">
        <f>AE64</f>
        <v>1051.3300281266877</v>
      </c>
      <c r="AG62" s="34">
        <f>AF64</f>
        <v>1164.8786948574643</v>
      </c>
      <c r="AH62" s="34">
        <f>AG64</f>
        <v>1329.0696787493773</v>
      </c>
      <c r="AI62" s="34">
        <f>AH64</f>
        <v>1507.5187515463485</v>
      </c>
      <c r="AJ62" s="34">
        <f>AI64</f>
        <v>1699.4776413106126</v>
      </c>
      <c r="AK62" s="34">
        <f>AJ64</f>
        <v>1905.7926087983756</v>
      </c>
      <c r="AL62" s="34">
        <f>AK64</f>
        <v>2127.3590086018976</v>
      </c>
      <c r="AM62" s="34">
        <f>AL64</f>
        <v>2365.124140622569</v>
      </c>
      <c r="AN62" s="34">
        <f>AM64</f>
        <v>2615.2518674052353</v>
      </c>
      <c r="AO62" s="34">
        <f>AN64</f>
        <v>2886.650606998545</v>
      </c>
      <c r="AP62" s="34">
        <f>AO64</f>
        <v>3177.432711570443</v>
      </c>
      <c r="AQ62" s="34">
        <f>AP64</f>
        <v>3488.785242605336</v>
      </c>
      <c r="AR62" s="34">
        <f>AQ64</f>
        <v>3064.908064999884</v>
      </c>
      <c r="AS62" s="34">
        <f>AR64</f>
        <v>3357.7853518232614</v>
      </c>
      <c r="AT62" s="34">
        <f>AS64</f>
        <v>3737.905451981119</v>
      </c>
      <c r="AU62" s="34">
        <f>AT64</f>
        <v>4137.358351000783</v>
      </c>
      <c r="AV62" s="34">
        <f>AU64</f>
        <v>4549.545708862531</v>
      </c>
      <c r="AW62" s="34">
        <f>AV64</f>
        <v>4974.846580807856</v>
      </c>
      <c r="AX62" s="34">
        <f>AW64</f>
        <v>5413.650388821624</v>
      </c>
      <c r="AY62" s="34">
        <f>AX64</f>
        <v>5866.357133688174</v>
      </c>
      <c r="AZ62" s="34">
        <f>AY64</f>
        <v>6333.37759873884</v>
      </c>
      <c r="BA62" s="34">
        <f>AZ64</f>
        <v>6815.133542846327</v>
      </c>
      <c r="BB62" s="34">
        <f>BA64</f>
        <v>7312.057879829235</v>
      </c>
      <c r="BC62" s="34">
        <f>BB64</f>
        <v>7824.594840980469</v>
      </c>
    </row>
    <row r="63">
      <c r="A63" s="4" t="inlineStr">
        <is>
          <t>Net cash flow</t>
        </is>
      </c>
      <c r="B63" s="2" t="inlineStr">
        <is>
          <t>₹ lakh</t>
        </is>
      </c>
      <c r="C63" s="34">
        <f>C61+C49-C54-C51-C59</f>
        <v>582.6885209</v>
      </c>
      <c r="D63" s="34">
        <f>D61+D49-D54-D51-D59</f>
        <v>-15.595256299999997</v>
      </c>
      <c r="E63" s="34">
        <f>E61+E49-E54-E51-E59</f>
        <v>-17.242760143199998</v>
      </c>
      <c r="F63" s="34">
        <f>F61+F49-F54-F51-F59</f>
        <v>-15.764101861599997</v>
      </c>
      <c r="G63" s="34">
        <f>G61+G49-G54-G51-G59</f>
        <v>-15.044851196000009</v>
      </c>
      <c r="H63" s="34">
        <f>H61+H49-H54-H51-H59</f>
        <v>-39.68474370002702</v>
      </c>
      <c r="I63" s="34">
        <f>I61+I49-I54-I51-I59</f>
        <v>-18.92303603871811</v>
      </c>
      <c r="J63" s="34">
        <f>J61+J49-J54-J51-J59</f>
        <v>-17.349698087501654</v>
      </c>
      <c r="K63" s="34">
        <f>K61+K49-K54-K51-K59</f>
        <v>-16.1699720735922</v>
      </c>
      <c r="L63" s="34">
        <f>L61+L49-L54-L51-L59</f>
        <v>-14.56253675865257</v>
      </c>
      <c r="M63" s="34">
        <f>M61+M49-M54-M51-M59</f>
        <v>-12.467197384210735</v>
      </c>
      <c r="N63" s="34">
        <f>N61+N49-N54-N51-N59</f>
        <v>-9.815287529058798</v>
      </c>
      <c r="O63" s="34">
        <f>O61+O49-O54-O51-O59</f>
        <v>-6.420131228208309</v>
      </c>
      <c r="P63" s="34">
        <f>P61+P49-P54-P51-P59</f>
        <v>-2.3278060931329785</v>
      </c>
      <c r="Q63" s="34">
        <f>Q61+Q49-Q54-Q51-Q59</f>
        <v>2.647198999555819</v>
      </c>
      <c r="R63" s="34">
        <f>R61+R49-R54-R51-R59</f>
        <v>8.550540799465711</v>
      </c>
      <c r="S63" s="34">
        <f>S61+S49-S54-S51-S59</f>
        <v>15.528982578738194</v>
      </c>
      <c r="T63" s="34">
        <f>T61+T49-T54-T51-T59</f>
        <v>-9.242119275418197</v>
      </c>
      <c r="U63" s="34">
        <f>U61+U49-U54-U51-U59</f>
        <v>39.010094810898934</v>
      </c>
      <c r="V63" s="34">
        <f>V61+V49-V54-V51-V59</f>
        <v>47.92104684115987</v>
      </c>
      <c r="W63" s="34">
        <f>W61+W49-W54-W51-W59</f>
        <v>54.07768540603151</v>
      </c>
      <c r="X63" s="34">
        <f>X61+X49-X54-X51-X59</f>
        <v>60.77923497244356</v>
      </c>
      <c r="Y63" s="34">
        <f>Y61+Y49-Y54-Y51-Y59</f>
        <v>68.06577011434261</v>
      </c>
      <c r="Z63" s="34">
        <f>Z61+Z49-Z54-Z51-Z59</f>
        <v>75.98039557769256</v>
      </c>
      <c r="AA63" s="34">
        <f>AA61+AA49-AA54-AA51-AA59</f>
        <v>84.56948671697779</v>
      </c>
      <c r="AB63" s="34">
        <f>AB61+AB49-AB54-AB51-AB59</f>
        <v>93.88295051088028</v>
      </c>
      <c r="AC63" s="34">
        <f>AC61+AC49-AC54-AC51-AC59</f>
        <v>103.97450910831463</v>
      </c>
      <c r="AD63" s="34">
        <f>AD61+AD49-AD54-AD51-AD59</f>
        <v>114.90200806321748</v>
      </c>
      <c r="AE63" s="34">
        <f>AE61+AE49-AE54-AE51-AE59</f>
        <v>-110.6388996037106</v>
      </c>
      <c r="AF63" s="34">
        <f>AF61+AF49-AF54-AF51-AF59</f>
        <v>113.5486667307766</v>
      </c>
      <c r="AG63" s="34">
        <f>AG61+AG49-AG54-AG51-AG59</f>
        <v>164.19098389191308</v>
      </c>
      <c r="AH63" s="34">
        <f>AH61+AH49-AH54-AH51-AH59</f>
        <v>178.4490727969713</v>
      </c>
      <c r="AI63" s="34">
        <f>AI61+AI49-AI54-AI51-AI59</f>
        <v>191.95888976426417</v>
      </c>
      <c r="AJ63" s="34">
        <f>AJ61+AJ49-AJ54-AJ51-AJ59</f>
        <v>206.314967487763</v>
      </c>
      <c r="AK63" s="34">
        <f>AK61+AK49-AK54-AK51-AK59</f>
        <v>221.56639980352202</v>
      </c>
      <c r="AL63" s="34">
        <f>AL61+AL49-AL54-AL51-AL59</f>
        <v>237.76513202067144</v>
      </c>
      <c r="AM63" s="34">
        <f>AM61+AM49-AM54-AM51-AM59</f>
        <v>250.12772678266634</v>
      </c>
      <c r="AN63" s="34">
        <f>AN61+AN49-AN54-AN51-AN59</f>
        <v>271.39873959330953</v>
      </c>
      <c r="AO63" s="34">
        <f>AO61+AO49-AO54-AO51-AO59</f>
        <v>290.7821045718982</v>
      </c>
      <c r="AP63" s="34">
        <f>AP61+AP49-AP54-AP51-AP59</f>
        <v>311.3525310348929</v>
      </c>
      <c r="AQ63" s="34">
        <f>AQ61+AQ49-AQ54-AQ51-AQ59</f>
        <v>-423.877177605452</v>
      </c>
      <c r="AR63" s="34">
        <f>AR61+AR49-AR54-AR51-AR59</f>
        <v>292.8772868233771</v>
      </c>
      <c r="AS63" s="34">
        <f>AS61+AS49-AS54-AS51-AS59</f>
        <v>380.1201001578575</v>
      </c>
      <c r="AT63" s="34">
        <f>AT61+AT49-AT54-AT51-AT59</f>
        <v>399.4528990196637</v>
      </c>
      <c r="AU63" s="34">
        <f>AU61+AU49-AU54-AU51-AU59</f>
        <v>412.187357861748</v>
      </c>
      <c r="AV63" s="34">
        <f>AV61+AV49-AV54-AV51-AV59</f>
        <v>425.3008719453253</v>
      </c>
      <c r="AW63" s="34">
        <f>AW61+AW49-AW54-AW51-AW59</f>
        <v>438.8038080137673</v>
      </c>
      <c r="AX63" s="34">
        <f>AX61+AX49-AX54-AX51-AX59</f>
        <v>452.7067448665498</v>
      </c>
      <c r="AY63" s="34">
        <f>AY61+AY49-AY54-AY51-AY59</f>
        <v>467.0204650506654</v>
      </c>
      <c r="AZ63" s="34">
        <f>AZ61+AZ49-AZ54-AZ51-AZ59</f>
        <v>481.75594410748727</v>
      </c>
      <c r="BA63" s="34">
        <f>BA61+BA49-BA54-BA51-BA59</f>
        <v>496.9243369829078</v>
      </c>
      <c r="BB63" s="34">
        <f>BB61+BB49-BB54-BB51-BB59</f>
        <v>512.5369611512333</v>
      </c>
      <c r="BC63" s="34">
        <f>BC61+BC49-BC54-BC51-BC59</f>
        <v>-869.9121266120657</v>
      </c>
    </row>
    <row r="64">
      <c r="A64" s="3" t="inlineStr">
        <is>
          <t>Closing cash</t>
        </is>
      </c>
      <c r="B64" s="2" t="inlineStr">
        <is>
          <t>₹ lakh</t>
        </is>
      </c>
      <c r="C64" s="35">
        <f>C62+C63</f>
        <v>602.6885209</v>
      </c>
      <c r="D64" s="35">
        <f>D62+D63</f>
        <v>587.0932646</v>
      </c>
      <c r="E64" s="35">
        <f>E62+E63</f>
        <v>569.8505044568</v>
      </c>
      <c r="F64" s="35">
        <f>F62+F63</f>
        <v>554.0864025952</v>
      </c>
      <c r="G64" s="35">
        <f>G62+G63</f>
        <v>539.0415513992</v>
      </c>
      <c r="H64" s="35">
        <f>H62+H63</f>
        <v>499.356807699173</v>
      </c>
      <c r="I64" s="35">
        <f>I62+I63</f>
        <v>480.43377166045485</v>
      </c>
      <c r="J64" s="35">
        <f>J62+J63</f>
        <v>463.0840735729532</v>
      </c>
      <c r="K64" s="35">
        <f>K62+K63</f>
        <v>446.914101499361</v>
      </c>
      <c r="L64" s="35">
        <f>L62+L63</f>
        <v>432.3515647407084</v>
      </c>
      <c r="M64" s="35">
        <f>M62+M63</f>
        <v>419.88436735649765</v>
      </c>
      <c r="N64" s="35">
        <f>N62+N63</f>
        <v>410.0690798274388</v>
      </c>
      <c r="O64" s="35">
        <f>O62+O63</f>
        <v>403.6489485992305</v>
      </c>
      <c r="P64" s="35">
        <f>P62+P63</f>
        <v>401.3211425060975</v>
      </c>
      <c r="Q64" s="35">
        <f>Q62+Q63</f>
        <v>403.9683415056533</v>
      </c>
      <c r="R64" s="35">
        <f>R62+R63</f>
        <v>412.518882305119</v>
      </c>
      <c r="S64" s="35">
        <f>S62+S63</f>
        <v>428.0478648838572</v>
      </c>
      <c r="T64" s="35">
        <f>T62+T63</f>
        <v>418.805745608439</v>
      </c>
      <c r="U64" s="35">
        <f>U62+U63</f>
        <v>457.8158404193379</v>
      </c>
      <c r="V64" s="35">
        <f>V62+V63</f>
        <v>505.7368872604978</v>
      </c>
      <c r="W64" s="35">
        <f>W62+W63</f>
        <v>559.8145726665293</v>
      </c>
      <c r="X64" s="35">
        <f>X62+X63</f>
        <v>620.5938076389729</v>
      </c>
      <c r="Y64" s="35">
        <f>Y62+Y63</f>
        <v>688.6595777533155</v>
      </c>
      <c r="Z64" s="35">
        <f>Z62+Z63</f>
        <v>764.639973331008</v>
      </c>
      <c r="AA64" s="35">
        <f>AA62+AA63</f>
        <v>849.2094600479859</v>
      </c>
      <c r="AB64" s="35">
        <f>AB62+AB63</f>
        <v>943.0924105588662</v>
      </c>
      <c r="AC64" s="35">
        <f>AC62+AC63</f>
        <v>1047.0669196671809</v>
      </c>
      <c r="AD64" s="35">
        <f>AD62+AD63</f>
        <v>1161.9689277303983</v>
      </c>
      <c r="AE64" s="35">
        <f>AE62+AE63</f>
        <v>1051.3300281266877</v>
      </c>
      <c r="AF64" s="35">
        <f>AF62+AF63</f>
        <v>1164.8786948574643</v>
      </c>
      <c r="AG64" s="35">
        <f>AG62+AG63</f>
        <v>1329.0696787493773</v>
      </c>
      <c r="AH64" s="35">
        <f>AH62+AH63</f>
        <v>1507.5187515463485</v>
      </c>
      <c r="AI64" s="35">
        <f>AI62+AI63</f>
        <v>1699.4776413106126</v>
      </c>
      <c r="AJ64" s="35">
        <f>AJ62+AJ63</f>
        <v>1905.7926087983756</v>
      </c>
      <c r="AK64" s="35">
        <f>AK62+AK63</f>
        <v>2127.3590086018976</v>
      </c>
      <c r="AL64" s="35">
        <f>AL62+AL63</f>
        <v>2365.124140622569</v>
      </c>
      <c r="AM64" s="35">
        <f>AM62+AM63</f>
        <v>2615.2518674052353</v>
      </c>
      <c r="AN64" s="35">
        <f>AN62+AN63</f>
        <v>2886.650606998545</v>
      </c>
      <c r="AO64" s="35">
        <f>AO62+AO63</f>
        <v>3177.432711570443</v>
      </c>
      <c r="AP64" s="35">
        <f>AP62+AP63</f>
        <v>3488.785242605336</v>
      </c>
      <c r="AQ64" s="35">
        <f>AQ62+AQ63</f>
        <v>3064.908064999884</v>
      </c>
      <c r="AR64" s="35">
        <f>AR62+AR63</f>
        <v>3357.7853518232614</v>
      </c>
      <c r="AS64" s="35">
        <f>AS62+AS63</f>
        <v>3737.905451981119</v>
      </c>
      <c r="AT64" s="35">
        <f>AT62+AT63</f>
        <v>4137.358351000783</v>
      </c>
      <c r="AU64" s="35">
        <f>AU62+AU63</f>
        <v>4549.545708862531</v>
      </c>
      <c r="AV64" s="35">
        <f>AV62+AV63</f>
        <v>4974.846580807856</v>
      </c>
      <c r="AW64" s="35">
        <f>AW62+AW63</f>
        <v>5413.650388821624</v>
      </c>
      <c r="AX64" s="35">
        <f>AX62+AX63</f>
        <v>5866.357133688174</v>
      </c>
      <c r="AY64" s="35">
        <f>AY62+AY63</f>
        <v>6333.37759873884</v>
      </c>
      <c r="AZ64" s="35">
        <f>AZ62+AZ63</f>
        <v>6815.133542846327</v>
      </c>
      <c r="BA64" s="35">
        <f>BA62+BA63</f>
        <v>7312.057879829235</v>
      </c>
      <c r="BB64" s="35">
        <f>BB62+BB63</f>
        <v>7824.594840980469</v>
      </c>
      <c r="BC64" s="35">
        <f>BC62+BC63</f>
        <v>6954.682714368403</v>
      </c>
    </row>
    <row r="65">
      <c r="A65" s="4" t="inlineStr">
        <is>
          <t>Operating burn (before tax; + = burning)</t>
        </is>
      </c>
      <c r="B65" s="2" t="inlineStr">
        <is>
          <t>₹ lakh</t>
        </is>
      </c>
      <c r="C65" s="34">
        <f>-(C49-C51-C59)</f>
        <v>17.3114791</v>
      </c>
      <c r="D65" s="34">
        <f>-(D49-D51-D59)</f>
        <v>15.595256299999997</v>
      </c>
      <c r="E65" s="34">
        <f>-(E49-E51-E59)</f>
        <v>17.242760143199998</v>
      </c>
      <c r="F65" s="34">
        <f>-(F49-F51-F59)</f>
        <v>15.764101861599997</v>
      </c>
      <c r="G65" s="34">
        <f>-(G49-G51-G59)</f>
        <v>15.044851196000009</v>
      </c>
      <c r="H65" s="34">
        <f>-(H49-H51-H59)</f>
        <v>39.68474370002702</v>
      </c>
      <c r="I65" s="34">
        <f>-(I49-I51-I59)</f>
        <v>18.92303603871811</v>
      </c>
      <c r="J65" s="34">
        <f>-(J49-J51-J59)</f>
        <v>17.349698087501654</v>
      </c>
      <c r="K65" s="34">
        <f>-(K49-K51-K59)</f>
        <v>16.1699720735922</v>
      </c>
      <c r="L65" s="34">
        <f>-(L49-L51-L59)</f>
        <v>14.56253675865257</v>
      </c>
      <c r="M65" s="34">
        <f>-(M49-M51-M59)</f>
        <v>12.467197384210735</v>
      </c>
      <c r="N65" s="34">
        <f>-(N49-N51-N59)</f>
        <v>9.815287529058798</v>
      </c>
      <c r="O65" s="34">
        <f>-(O49-O51-O59)</f>
        <v>6.420131228208309</v>
      </c>
      <c r="P65" s="34">
        <f>-(P49-P51-P59)</f>
        <v>2.3278060931329785</v>
      </c>
      <c r="Q65" s="34">
        <f>-(Q49-Q51-Q59)</f>
        <v>-2.647198999555819</v>
      </c>
      <c r="R65" s="34">
        <f>-(R49-R51-R59)</f>
        <v>-8.550540799465711</v>
      </c>
      <c r="S65" s="34">
        <f>-(S49-S51-S59)</f>
        <v>-15.528982578738194</v>
      </c>
      <c r="T65" s="34">
        <f>-(T49-T51-T59)</f>
        <v>9.242119275418197</v>
      </c>
      <c r="U65" s="34">
        <f>-(U49-U51-U59)</f>
        <v>-39.010094810898934</v>
      </c>
      <c r="V65" s="34">
        <f>-(V49-V51-V59)</f>
        <v>-47.92104684115987</v>
      </c>
      <c r="W65" s="34">
        <f>-(W49-W51-W59)</f>
        <v>-54.07768540603151</v>
      </c>
      <c r="X65" s="34">
        <f>-(X49-X51-X59)</f>
        <v>-60.77923497244356</v>
      </c>
      <c r="Y65" s="34">
        <f>-(Y49-Y51-Y59)</f>
        <v>-68.06577011434261</v>
      </c>
      <c r="Z65" s="34">
        <f>-(Z49-Z51-Z59)</f>
        <v>-75.98039557769256</v>
      </c>
      <c r="AA65" s="34">
        <f>-(AA49-AA51-AA59)</f>
        <v>-84.56948671697779</v>
      </c>
      <c r="AB65" s="34">
        <f>-(AB49-AB51-AB59)</f>
        <v>-93.88295051088028</v>
      </c>
      <c r="AC65" s="34">
        <f>-(AC49-AC51-AC59)</f>
        <v>-103.97450910831463</v>
      </c>
      <c r="AD65" s="34">
        <f>-(AD49-AD51-AD59)</f>
        <v>-114.90200806321748</v>
      </c>
      <c r="AE65" s="34">
        <f>-(AE49-AE51-AE59)</f>
        <v>-126.7277516481216</v>
      </c>
      <c r="AF65" s="34">
        <f>-(AF49-AF51-AF59)</f>
        <v>-113.5486667307766</v>
      </c>
      <c r="AG65" s="34">
        <f>-(AG49-AG51-AG59)</f>
        <v>-164.19098389191308</v>
      </c>
      <c r="AH65" s="34">
        <f>-(AH49-AH51-AH59)</f>
        <v>-178.4490727969713</v>
      </c>
      <c r="AI65" s="34">
        <f>-(AI49-AI51-AI59)</f>
        <v>-191.95888976426417</v>
      </c>
      <c r="AJ65" s="34">
        <f>-(AJ49-AJ51-AJ59)</f>
        <v>-206.314967487763</v>
      </c>
      <c r="AK65" s="34">
        <f>-(AK49-AK51-AK59)</f>
        <v>-221.56639980352202</v>
      </c>
      <c r="AL65" s="34">
        <f>-(AL49-AL51-AL59)</f>
        <v>-237.76513202067144</v>
      </c>
      <c r="AM65" s="34">
        <f>-(AM49-AM51-AM59)</f>
        <v>-250.12772678266634</v>
      </c>
      <c r="AN65" s="34">
        <f>-(AN49-AN51-AN59)</f>
        <v>-271.39873959330953</v>
      </c>
      <c r="AO65" s="34">
        <f>-(AO49-AO51-AO59)</f>
        <v>-290.7821045718982</v>
      </c>
      <c r="AP65" s="34">
        <f>-(AP49-AP51-AP59)</f>
        <v>-311.3525310348929</v>
      </c>
      <c r="AQ65" s="34">
        <f>-(AQ49-AQ51-AQ59)</f>
        <v>-333.1789115365637</v>
      </c>
      <c r="AR65" s="34">
        <f>-(AR49-AR51-AR59)</f>
        <v>-292.8772868233771</v>
      </c>
      <c r="AS65" s="34">
        <f>-(AS49-AS51-AS59)</f>
        <v>-380.1201001578575</v>
      </c>
      <c r="AT65" s="34">
        <f>-(AT49-AT51-AT59)</f>
        <v>-399.4528990196637</v>
      </c>
      <c r="AU65" s="34">
        <f>-(AU49-AU51-AU59)</f>
        <v>-412.187357861748</v>
      </c>
      <c r="AV65" s="34">
        <f>-(AV49-AV51-AV59)</f>
        <v>-425.3008719453253</v>
      </c>
      <c r="AW65" s="34">
        <f>-(AW49-AW51-AW59)</f>
        <v>-438.8038080137673</v>
      </c>
      <c r="AX65" s="34">
        <f>-(AX49-AX51-AX59)</f>
        <v>-452.7067448665498</v>
      </c>
      <c r="AY65" s="34">
        <f>-(AY49-AY51-AY59)</f>
        <v>-467.0204650506654</v>
      </c>
      <c r="AZ65" s="34">
        <f>-(AZ49-AZ51-AZ59)</f>
        <v>-481.75594410748727</v>
      </c>
      <c r="BA65" s="34">
        <f>-(BA49-BA51-BA59)</f>
        <v>-496.9243369829078</v>
      </c>
      <c r="BB65" s="34">
        <f>-(BB49-BB51-BB59)</f>
        <v>-512.5369611512333</v>
      </c>
      <c r="BC65" s="34">
        <f>-(BC49-BC51-BC59)</f>
        <v>-528.6052759378314</v>
      </c>
    </row>
    <row r="66">
      <c r="A66" s="4" t="inlineStr">
        <is>
          <t>Helper: last month with EBITDA ≤ 0</t>
        </is>
      </c>
      <c r="B66" s="2" t="inlineStr">
        <is>
          <t>month number</t>
        </is>
      </c>
      <c r="C66" s="31">
        <f>IF(C49&lt;=0,C8,0)</f>
        <v>1.0</v>
      </c>
      <c r="D66" s="31">
        <f>IF(D49&lt;=0,D8,C66)</f>
        <v>2.0</v>
      </c>
      <c r="E66" s="31">
        <f>IF(E49&lt;=0,E8,D66)</f>
        <v>3.0</v>
      </c>
      <c r="F66" s="31">
        <f>IF(F49&lt;=0,F8,E66)</f>
        <v>4.0</v>
      </c>
      <c r="G66" s="31">
        <f>IF(G49&lt;=0,G8,F66)</f>
        <v>5.0</v>
      </c>
      <c r="H66" s="31">
        <f>IF(H49&lt;=0,H8,G66)</f>
        <v>6.0</v>
      </c>
      <c r="I66" s="31">
        <f>IF(I49&lt;=0,I8,H66)</f>
        <v>7.0</v>
      </c>
      <c r="J66" s="31">
        <f>IF(J49&lt;=0,J8,I66)</f>
        <v>8.0</v>
      </c>
      <c r="K66" s="31">
        <f>IF(K49&lt;=0,K8,J66)</f>
        <v>9.0</v>
      </c>
      <c r="L66" s="31">
        <f>IF(L49&lt;=0,L8,K66)</f>
        <v>10.0</v>
      </c>
      <c r="M66" s="31">
        <f>IF(M49&lt;=0,M8,L66)</f>
        <v>11.0</v>
      </c>
      <c r="N66" s="31">
        <f>IF(N49&lt;=0,N8,M66)</f>
        <v>12.0</v>
      </c>
      <c r="O66" s="31">
        <f>IF(O49&lt;=0,O8,N66)</f>
        <v>12.0</v>
      </c>
      <c r="P66" s="31">
        <f>IF(P49&lt;=0,P8,O66)</f>
        <v>12.0</v>
      </c>
      <c r="Q66" s="31">
        <f>IF(Q49&lt;=0,Q8,P66)</f>
        <v>12.0</v>
      </c>
      <c r="R66" s="31">
        <f>IF(R49&lt;=0,R8,Q66)</f>
        <v>12.0</v>
      </c>
      <c r="S66" s="31">
        <f>IF(S49&lt;=0,S8,R66)</f>
        <v>12.0</v>
      </c>
      <c r="T66" s="31">
        <f>IF(T49&lt;=0,T8,S66)</f>
        <v>12.0</v>
      </c>
      <c r="U66" s="31">
        <f>IF(U49&lt;=0,U8,T66)</f>
        <v>12.0</v>
      </c>
      <c r="V66" s="31">
        <f>IF(V49&lt;=0,V8,U66)</f>
        <v>12.0</v>
      </c>
      <c r="W66" s="31">
        <f>IF(W49&lt;=0,W8,V66)</f>
        <v>12.0</v>
      </c>
      <c r="X66" s="31">
        <f>IF(X49&lt;=0,X8,W66)</f>
        <v>12.0</v>
      </c>
      <c r="Y66" s="31">
        <f>IF(Y49&lt;=0,Y8,X66)</f>
        <v>12.0</v>
      </c>
      <c r="Z66" s="31">
        <f>IF(Z49&lt;=0,Z8,Y66)</f>
        <v>12.0</v>
      </c>
      <c r="AA66" s="31">
        <f>IF(AA49&lt;=0,AA8,Z66)</f>
        <v>12.0</v>
      </c>
      <c r="AB66" s="31">
        <f>IF(AB49&lt;=0,AB8,AA66)</f>
        <v>12.0</v>
      </c>
      <c r="AC66" s="31">
        <f>IF(AC49&lt;=0,AC8,AB66)</f>
        <v>12.0</v>
      </c>
      <c r="AD66" s="31">
        <f>IF(AD49&lt;=0,AD8,AC66)</f>
        <v>12.0</v>
      </c>
      <c r="AE66" s="31">
        <f>IF(AE49&lt;=0,AE8,AD66)</f>
        <v>12.0</v>
      </c>
      <c r="AF66" s="31">
        <f>IF(AF49&lt;=0,AF8,AE66)</f>
        <v>12.0</v>
      </c>
      <c r="AG66" s="31">
        <f>IF(AG49&lt;=0,AG8,AF66)</f>
        <v>12.0</v>
      </c>
      <c r="AH66" s="31">
        <f>IF(AH49&lt;=0,AH8,AG66)</f>
        <v>12.0</v>
      </c>
      <c r="AI66" s="31">
        <f>IF(AI49&lt;=0,AI8,AH66)</f>
        <v>12.0</v>
      </c>
      <c r="AJ66" s="31">
        <f>IF(AJ49&lt;=0,AJ8,AI66)</f>
        <v>12.0</v>
      </c>
      <c r="AK66" s="31">
        <f>IF(AK49&lt;=0,AK8,AJ66)</f>
        <v>12.0</v>
      </c>
      <c r="AL66" s="31">
        <f>IF(AL49&lt;=0,AL8,AK66)</f>
        <v>12.0</v>
      </c>
      <c r="AM66" s="31">
        <f>IF(AM49&lt;=0,AM8,AL66)</f>
        <v>12.0</v>
      </c>
      <c r="AN66" s="31">
        <f>IF(AN49&lt;=0,AN8,AM66)</f>
        <v>12.0</v>
      </c>
      <c r="AO66" s="31">
        <f>IF(AO49&lt;=0,AO8,AN66)</f>
        <v>12.0</v>
      </c>
      <c r="AP66" s="31">
        <f>IF(AP49&lt;=0,AP8,AO66)</f>
        <v>12.0</v>
      </c>
      <c r="AQ66" s="31">
        <f>IF(AQ49&lt;=0,AQ8,AP66)</f>
        <v>12.0</v>
      </c>
      <c r="AR66" s="31">
        <f>IF(AR49&lt;=0,AR8,AQ66)</f>
        <v>12.0</v>
      </c>
      <c r="AS66" s="31">
        <f>IF(AS49&lt;=0,AS8,AR66)</f>
        <v>12.0</v>
      </c>
      <c r="AT66" s="31">
        <f>IF(AT49&lt;=0,AT8,AS66)</f>
        <v>12.0</v>
      </c>
      <c r="AU66" s="31">
        <f>IF(AU49&lt;=0,AU8,AT66)</f>
        <v>12.0</v>
      </c>
      <c r="AV66" s="31">
        <f>IF(AV49&lt;=0,AV8,AU66)</f>
        <v>12.0</v>
      </c>
      <c r="AW66" s="31">
        <f>IF(AW49&lt;=0,AW8,AV66)</f>
        <v>12.0</v>
      </c>
      <c r="AX66" s="31">
        <f>IF(AX49&lt;=0,AX8,AW66)</f>
        <v>12.0</v>
      </c>
      <c r="AY66" s="31">
        <f>IF(AY49&lt;=0,AY8,AX66)</f>
        <v>12.0</v>
      </c>
      <c r="AZ66" s="31">
        <f>IF(AZ49&lt;=0,AZ8,AY66)</f>
        <v>12.0</v>
      </c>
      <c r="BA66" s="31">
        <f>IF(BA49&lt;=0,BA8,AZ66)</f>
        <v>12.0</v>
      </c>
      <c r="BB66" s="31">
        <f>IF(BB49&lt;=0,BB8,BA66)</f>
        <v>12.0</v>
      </c>
      <c r="BC66" s="31">
        <f>IF(BC49&lt;=0,BC8,BB66)</f>
        <v>12.0</v>
      </c>
    </row>
    <row r="67">
      <c r="A67" s="4" t="inlineStr">
        <is>
          <t>Helper: first month with cash below zero</t>
        </is>
      </c>
      <c r="B67" s="2" t="inlineStr">
        <is>
          <t>month number</t>
        </is>
      </c>
      <c r="C67" s="31">
        <f>IF(C64&lt;0,C8,0)</f>
        <v>0.0</v>
      </c>
      <c r="D67" s="31">
        <f>IF(C67&gt;0,C67,IF(D64&lt;0,D8,0))</f>
        <v>0.0</v>
      </c>
      <c r="E67" s="31">
        <f>IF(D67&gt;0,D67,IF(E64&lt;0,E8,0))</f>
        <v>0.0</v>
      </c>
      <c r="F67" s="31">
        <f>IF(E67&gt;0,E67,IF(F64&lt;0,F8,0))</f>
        <v>0.0</v>
      </c>
      <c r="G67" s="31">
        <f>IF(F67&gt;0,F67,IF(G64&lt;0,G8,0))</f>
        <v>0.0</v>
      </c>
      <c r="H67" s="31">
        <f>IF(G67&gt;0,G67,IF(H64&lt;0,H8,0))</f>
        <v>0.0</v>
      </c>
      <c r="I67" s="31">
        <f>IF(H67&gt;0,H67,IF(I64&lt;0,I8,0))</f>
        <v>0.0</v>
      </c>
      <c r="J67" s="31">
        <f>IF(I67&gt;0,I67,IF(J64&lt;0,J8,0))</f>
        <v>0.0</v>
      </c>
      <c r="K67" s="31">
        <f>IF(J67&gt;0,J67,IF(K64&lt;0,K8,0))</f>
        <v>0.0</v>
      </c>
      <c r="L67" s="31">
        <f>IF(K67&gt;0,K67,IF(L64&lt;0,L8,0))</f>
        <v>0.0</v>
      </c>
      <c r="M67" s="31">
        <f>IF(L67&gt;0,L67,IF(M64&lt;0,M8,0))</f>
        <v>0.0</v>
      </c>
      <c r="N67" s="31">
        <f>IF(M67&gt;0,M67,IF(N64&lt;0,N8,0))</f>
        <v>0.0</v>
      </c>
      <c r="O67" s="31">
        <f>IF(N67&gt;0,N67,IF(O64&lt;0,O8,0))</f>
        <v>0.0</v>
      </c>
      <c r="P67" s="31">
        <f>IF(O67&gt;0,O67,IF(P64&lt;0,P8,0))</f>
        <v>0.0</v>
      </c>
      <c r="Q67" s="31">
        <f>IF(P67&gt;0,P67,IF(Q64&lt;0,Q8,0))</f>
        <v>0.0</v>
      </c>
      <c r="R67" s="31">
        <f>IF(Q67&gt;0,Q67,IF(R64&lt;0,R8,0))</f>
        <v>0.0</v>
      </c>
      <c r="S67" s="31">
        <f>IF(R67&gt;0,R67,IF(S64&lt;0,S8,0))</f>
        <v>0.0</v>
      </c>
      <c r="T67" s="31">
        <f>IF(S67&gt;0,S67,IF(T64&lt;0,T8,0))</f>
        <v>0.0</v>
      </c>
      <c r="U67" s="31">
        <f>IF(T67&gt;0,T67,IF(U64&lt;0,U8,0))</f>
        <v>0.0</v>
      </c>
      <c r="V67" s="31">
        <f>IF(U67&gt;0,U67,IF(V64&lt;0,V8,0))</f>
        <v>0.0</v>
      </c>
      <c r="W67" s="31">
        <f>IF(V67&gt;0,V67,IF(W64&lt;0,W8,0))</f>
        <v>0.0</v>
      </c>
      <c r="X67" s="31">
        <f>IF(W67&gt;0,W67,IF(X64&lt;0,X8,0))</f>
        <v>0.0</v>
      </c>
      <c r="Y67" s="31">
        <f>IF(X67&gt;0,X67,IF(Y64&lt;0,Y8,0))</f>
        <v>0.0</v>
      </c>
      <c r="Z67" s="31">
        <f>IF(Y67&gt;0,Y67,IF(Z64&lt;0,Z8,0))</f>
        <v>0.0</v>
      </c>
      <c r="AA67" s="31">
        <f>IF(Z67&gt;0,Z67,IF(AA64&lt;0,AA8,0))</f>
        <v>0.0</v>
      </c>
      <c r="AB67" s="31">
        <f>IF(AA67&gt;0,AA67,IF(AB64&lt;0,AB8,0))</f>
        <v>0.0</v>
      </c>
      <c r="AC67" s="31">
        <f>IF(AB67&gt;0,AB67,IF(AC64&lt;0,AC8,0))</f>
        <v>0.0</v>
      </c>
      <c r="AD67" s="31">
        <f>IF(AC67&gt;0,AC67,IF(AD64&lt;0,AD8,0))</f>
        <v>0.0</v>
      </c>
      <c r="AE67" s="31">
        <f>IF(AD67&gt;0,AD67,IF(AE64&lt;0,AE8,0))</f>
        <v>0.0</v>
      </c>
      <c r="AF67" s="31">
        <f>IF(AE67&gt;0,AE67,IF(AF64&lt;0,AF8,0))</f>
        <v>0.0</v>
      </c>
      <c r="AG67" s="31">
        <f>IF(AF67&gt;0,AF67,IF(AG64&lt;0,AG8,0))</f>
        <v>0.0</v>
      </c>
      <c r="AH67" s="31">
        <f>IF(AG67&gt;0,AG67,IF(AH64&lt;0,AH8,0))</f>
        <v>0.0</v>
      </c>
      <c r="AI67" s="31">
        <f>IF(AH67&gt;0,AH67,IF(AI64&lt;0,AI8,0))</f>
        <v>0.0</v>
      </c>
      <c r="AJ67" s="31">
        <f>IF(AI67&gt;0,AI67,IF(AJ64&lt;0,AJ8,0))</f>
        <v>0.0</v>
      </c>
      <c r="AK67" s="31">
        <f>IF(AJ67&gt;0,AJ67,IF(AK64&lt;0,AK8,0))</f>
        <v>0.0</v>
      </c>
      <c r="AL67" s="31">
        <f>IF(AK67&gt;0,AK67,IF(AL64&lt;0,AL8,0))</f>
        <v>0.0</v>
      </c>
      <c r="AM67" s="31">
        <f>IF(AL67&gt;0,AL67,IF(AM64&lt;0,AM8,0))</f>
        <v>0.0</v>
      </c>
      <c r="AN67" s="31">
        <f>IF(AM67&gt;0,AM67,IF(AN64&lt;0,AN8,0))</f>
        <v>0.0</v>
      </c>
      <c r="AO67" s="31">
        <f>IF(AN67&gt;0,AN67,IF(AO64&lt;0,AO8,0))</f>
        <v>0.0</v>
      </c>
      <c r="AP67" s="31">
        <f>IF(AO67&gt;0,AO67,IF(AP64&lt;0,AP8,0))</f>
        <v>0.0</v>
      </c>
      <c r="AQ67" s="31">
        <f>IF(AP67&gt;0,AP67,IF(AQ64&lt;0,AQ8,0))</f>
        <v>0.0</v>
      </c>
      <c r="AR67" s="31">
        <f>IF(AQ67&gt;0,AQ67,IF(AR64&lt;0,AR8,0))</f>
        <v>0.0</v>
      </c>
      <c r="AS67" s="31">
        <f>IF(AR67&gt;0,AR67,IF(AS64&lt;0,AS8,0))</f>
        <v>0.0</v>
      </c>
      <c r="AT67" s="31">
        <f>IF(AS67&gt;0,AS67,IF(AT64&lt;0,AT8,0))</f>
        <v>0.0</v>
      </c>
      <c r="AU67" s="31">
        <f>IF(AT67&gt;0,AT67,IF(AU64&lt;0,AU8,0))</f>
        <v>0.0</v>
      </c>
      <c r="AV67" s="31">
        <f>IF(AU67&gt;0,AU67,IF(AV64&lt;0,AV8,0))</f>
        <v>0.0</v>
      </c>
      <c r="AW67" s="31">
        <f>IF(AV67&gt;0,AV67,IF(AW64&lt;0,AW8,0))</f>
        <v>0.0</v>
      </c>
      <c r="AX67" s="31">
        <f>IF(AW67&gt;0,AW67,IF(AX64&lt;0,AX8,0))</f>
        <v>0.0</v>
      </c>
      <c r="AY67" s="31">
        <f>IF(AX67&gt;0,AX67,IF(AY64&lt;0,AY8,0))</f>
        <v>0.0</v>
      </c>
      <c r="AZ67" s="31">
        <f>IF(AY67&gt;0,AY67,IF(AZ64&lt;0,AZ8,0))</f>
        <v>0.0</v>
      </c>
      <c r="BA67" s="31">
        <f>IF(AZ67&gt;0,AZ67,IF(BA64&lt;0,BA8,0))</f>
        <v>0.0</v>
      </c>
      <c r="BB67" s="31">
        <f>IF(BA67&gt;0,BA67,IF(BB64&lt;0,BB8,0))</f>
        <v>0.0</v>
      </c>
      <c r="BC67" s="31">
        <f>IF(BB67&gt;0,BB67,IF(BC64&lt;0,BC8,0))</f>
        <v>0.0</v>
      </c>
    </row>
    <row r="70">
      <c r="A70" s="11" t="inlineStr">
        <is>
          <t>Annual totals (₹ lakh)</t>
        </is>
      </c>
      <c r="B70" s="11" t="inlineStr">
        <is>
          <t>Unit / note</t>
        </is>
      </c>
      <c r="C70" s="12" t="inlineStr">
        <is>
          <t>FY27*</t>
        </is>
      </c>
      <c r="D70" s="12" t="inlineStr">
        <is>
          <t>FY28</t>
        </is>
      </c>
      <c r="E70" s="12" t="inlineStr">
        <is>
          <t>FY29</t>
        </is>
      </c>
      <c r="F70" s="12" t="inlineStr">
        <is>
          <t>FY30</t>
        </is>
      </c>
      <c r="G70" s="12" t="inlineStr">
        <is>
          <t>FY31</t>
        </is>
      </c>
    </row>
    <row r="71">
      <c r="A71" s="4" t="inlineStr">
        <is>
          <t>Roof Reports</t>
        </is>
      </c>
      <c r="C71" s="32">
        <f>SUM(C10:G10)</f>
        <v>48000.0</v>
      </c>
      <c r="D71" s="32">
        <f>SUM(H10:S10)</f>
        <v>480000.00000000047</v>
      </c>
      <c r="E71" s="32">
        <f>SUM(T10:AE10)</f>
        <v>1440000.0</v>
      </c>
      <c r="F71" s="32">
        <f>SUM(AF10:AQ10)</f>
        <v>2999999.9999999967</v>
      </c>
      <c r="G71" s="32">
        <f>SUM(AR10:BC10)</f>
        <v>4799999.999999995</v>
      </c>
    </row>
    <row r="72">
      <c r="A72" s="4" t="inlineStr">
        <is>
          <t>Verified leads</t>
        </is>
      </c>
      <c r="C72" s="32">
        <f>SUM(C11:G11)</f>
        <v>4320.0</v>
      </c>
      <c r="D72" s="32">
        <f>SUM(H11:S11)</f>
        <v>43200.000000000044</v>
      </c>
      <c r="E72" s="32">
        <f>SUM(T11:AE11)</f>
        <v>129599.99999999999</v>
      </c>
      <c r="F72" s="32">
        <f>SUM(AF11:AQ11)</f>
        <v>269999.9999999997</v>
      </c>
      <c r="G72" s="32">
        <f>SUM(AR11:BC11)</f>
        <v>431999.99999999953</v>
      </c>
    </row>
    <row r="73">
      <c r="A73" s="4" t="inlineStr">
        <is>
          <t>Installed homes</t>
        </is>
      </c>
      <c r="C73" s="32">
        <f>SUM(C12:G12)</f>
        <v>399.168</v>
      </c>
      <c r="D73" s="32">
        <f>SUM(H12:S12)</f>
        <v>7284.0634632261645</v>
      </c>
      <c r="E73" s="32">
        <f>SUM(T12:AE12)</f>
        <v>24760.18116359893</v>
      </c>
      <c r="F73" s="32">
        <f>SUM(AF12:AQ12)</f>
        <v>53054.65433773395</v>
      </c>
      <c r="G73" s="32">
        <f>SUM(AR12:BC12)</f>
        <v>89852.38630790314</v>
      </c>
    </row>
    <row r="74">
      <c r="A74" s="4" t="inlineStr">
        <is>
          <t>Lead fees</t>
        </is>
      </c>
      <c r="C74" s="34">
        <f>SUM(C15:G15)</f>
        <v>67.71600000000001</v>
      </c>
      <c r="D74" s="34">
        <f>SUM(H15:S15)</f>
        <v>677.1600000000007</v>
      </c>
      <c r="E74" s="34">
        <f>SUM(T15:AE15)</f>
        <v>2031.4799999999998</v>
      </c>
      <c r="F74" s="34">
        <f>SUM(AF15:AQ15)</f>
        <v>4232.2499999999945</v>
      </c>
      <c r="G74" s="34">
        <f>SUM(AR15:BC15)</f>
        <v>6771.599999999992</v>
      </c>
    </row>
    <row r="75">
      <c r="A75" s="4" t="inlineStr">
        <is>
          <t>Success fees</t>
        </is>
      </c>
      <c r="C75" s="34">
        <f>SUM(C16:G16)</f>
        <v>12.594548736</v>
      </c>
      <c r="D75" s="34">
        <f>SUM(H16:S16)</f>
        <v>225.86423986771695</v>
      </c>
      <c r="E75" s="34">
        <f>SUM(T16:AE16)</f>
        <v>754.2941589678779</v>
      </c>
      <c r="F75" s="34">
        <f>SUM(AF16:AQ16)</f>
        <v>1587.3952577849996</v>
      </c>
      <c r="G75" s="34">
        <f>SUM(AR16:BC16)</f>
        <v>2639.5037001809624</v>
      </c>
    </row>
    <row r="76">
      <c r="A76" s="4" t="inlineStr">
        <is>
          <t>Loan origination</t>
        </is>
      </c>
      <c r="C76" s="34">
        <f>SUM(C17:G17)</f>
        <v>2.2353408</v>
      </c>
      <c r="D76" s="34">
        <f>SUM(H17:S17)</f>
        <v>40.79075539406652</v>
      </c>
      <c r="E76" s="34">
        <f>SUM(T17:AE17)</f>
        <v>138.65701451615402</v>
      </c>
      <c r="F76" s="34">
        <f>SUM(AF17:AQ17)</f>
        <v>297.1060642913101</v>
      </c>
      <c r="G76" s="34">
        <f>SUM(AR17:BC17)</f>
        <v>503.1733633242576</v>
      </c>
    </row>
    <row r="77">
      <c r="A77" s="4" t="inlineStr">
        <is>
          <t>Installer SaaS</t>
        </is>
      </c>
      <c r="C77" s="34">
        <f>SUM(C19:G19)</f>
        <v>4.4985</v>
      </c>
      <c r="D77" s="34">
        <f>SUM(H19:S19)</f>
        <v>129.5568</v>
      </c>
      <c r="E77" s="34">
        <f>SUM(T19:AE19)</f>
        <v>388.6704</v>
      </c>
      <c r="F77" s="34">
        <f>SUM(AF19:AQ19)</f>
        <v>690.9695999999999</v>
      </c>
      <c r="G77" s="34">
        <f>SUM(AR19:BC19)</f>
        <v>1079.6399999999999</v>
      </c>
    </row>
    <row r="78">
      <c r="A78" s="4" t="inlineStr">
        <is>
          <t>State / DISCOM analytics</t>
        </is>
      </c>
      <c r="C78" s="34">
        <f>SUM(C20:G20)</f>
        <v>0.0</v>
      </c>
      <c r="D78" s="34">
        <f>SUM(H20:S20)</f>
        <v>40.00000000000001</v>
      </c>
      <c r="E78" s="34">
        <f>SUM(T20:AE20)</f>
        <v>160.00000000000003</v>
      </c>
      <c r="F78" s="34">
        <f>SUM(AF20:AQ20)</f>
        <v>280.0</v>
      </c>
      <c r="G78" s="34">
        <f>SUM(AR20:BC20)</f>
        <v>480.0</v>
      </c>
    </row>
    <row r="79">
      <c r="A79" s="3" t="inlineStr">
        <is>
          <t>Total revenue</t>
        </is>
      </c>
      <c r="C79" s="35">
        <f>SUM(C21:G21)</f>
        <v>87.044389536</v>
      </c>
      <c r="D79" s="35">
        <f>SUM(H21:S21)</f>
        <v>1113.371795261784</v>
      </c>
      <c r="E79" s="35">
        <f>SUM(T21:AE21)</f>
        <v>3473.101573484031</v>
      </c>
      <c r="F79" s="35">
        <f>SUM(AF21:AQ21)</f>
        <v>7087.720922076304</v>
      </c>
      <c r="G79" s="35">
        <f>SUM(AR21:BC21)</f>
        <v>11473.917063505212</v>
      </c>
    </row>
    <row r="80">
      <c r="A80" s="4" t="inlineStr">
        <is>
          <t>Customer acquisition</t>
        </is>
      </c>
      <c r="C80" s="34">
        <f>SUM(C23:G23)</f>
        <v>43.2</v>
      </c>
      <c r="D80" s="34">
        <f>SUM(H23:S23)</f>
        <v>367.2000000000004</v>
      </c>
      <c r="E80" s="34">
        <f>SUM(T23:AE23)</f>
        <v>971.9999999999998</v>
      </c>
      <c r="F80" s="34">
        <f>SUM(AF23:AQ23)</f>
        <v>1754.9999999999982</v>
      </c>
      <c r="G80" s="34">
        <f>SUM(AR23:BC23)</f>
        <v>2591.9999999999973</v>
      </c>
    </row>
    <row r="81">
      <c r="A81" s="4" t="inlineStr">
        <is>
          <t>AI + infrastructure</t>
        </is>
      </c>
      <c r="C81" s="34">
        <f>SUM(C24:G24)</f>
        <v>2.333475</v>
      </c>
      <c r="D81" s="34">
        <f>SUM(H24:S24)</f>
        <v>8.315535000000008</v>
      </c>
      <c r="E81" s="34">
        <f>SUM(T24:AE24)</f>
        <v>24.946604999999998</v>
      </c>
      <c r="F81" s="34">
        <f>SUM(AF24:AQ24)</f>
        <v>51.97209374999994</v>
      </c>
      <c r="G81" s="34">
        <f>SUM(AR24:BC24)</f>
        <v>83.15534999999991</v>
      </c>
    </row>
    <row r="82">
      <c r="A82" s="4" t="inlineStr">
        <is>
          <t>Payments + partner ops</t>
        </is>
      </c>
      <c r="C82" s="34">
        <f>SUM(C25:G25)</f>
        <v>2.6113316860799998</v>
      </c>
      <c r="D82" s="34">
        <f>SUM(H25:S25)</f>
        <v>33.40115385785353</v>
      </c>
      <c r="E82" s="34">
        <f>SUM(T25:AE25)</f>
        <v>104.19304720452094</v>
      </c>
      <c r="F82" s="34">
        <f>SUM(AF25:AQ25)</f>
        <v>212.63162766228913</v>
      </c>
      <c r="G82" s="34">
        <f>SUM(AR25:BC25)</f>
        <v>344.2175119051563</v>
      </c>
    </row>
    <row r="83">
      <c r="A83" s="3" t="inlineStr">
        <is>
          <t>Gross profit</t>
        </is>
      </c>
      <c r="C83" s="35">
        <f>SUM(C26:G26)</f>
        <v>38.899582849919994</v>
      </c>
      <c r="D83" s="35">
        <f>SUM(H26:S26)</f>
        <v>704.4551064039302</v>
      </c>
      <c r="E83" s="35">
        <f>SUM(T26:AE26)</f>
        <v>2371.9619212795105</v>
      </c>
      <c r="F83" s="35">
        <f>SUM(AF26:AQ26)</f>
        <v>5068.117200664017</v>
      </c>
      <c r="G83" s="35">
        <f>SUM(AR26:BC26)</f>
        <v>8454.54420160006</v>
      </c>
    </row>
    <row r="84">
      <c r="A84" s="4" t="inlineStr">
        <is>
          <t>Payroll: Product &amp; engineering (incl. design, ML/PV)</t>
        </is>
      </c>
      <c r="C84" s="34">
        <f>SUM(C38:G38)</f>
        <v>48.125</v>
      </c>
      <c r="D84" s="34">
        <f>SUM(H38:S38)</f>
        <v>347.47020000000003</v>
      </c>
      <c r="E84" s="34">
        <f>SUM(T38:AE38)</f>
        <v>568.1137770000001</v>
      </c>
      <c r="F84" s="34">
        <f>SUM(AF38:AQ38)</f>
        <v>825.6586892400001</v>
      </c>
      <c r="G84" s="34">
        <f>SUM(AR38:BC38)</f>
        <v>1124.9599640895003</v>
      </c>
    </row>
    <row r="85">
      <c r="A85" s="4" t="inlineStr">
        <is>
          <t>Payroll: Growth &amp; content</t>
        </is>
      </c>
      <c r="C85" s="34">
        <f>SUM(C39:G39)</f>
        <v>10.5</v>
      </c>
      <c r="D85" s="34">
        <f>SUM(H39:S39)</f>
        <v>63.1764</v>
      </c>
      <c r="E85" s="34">
        <f>SUM(T39:AE39)</f>
        <v>120.50898300000001</v>
      </c>
      <c r="F85" s="34">
        <f>SUM(AF39:AQ39)</f>
        <v>168.88473189</v>
      </c>
      <c r="G85" s="34">
        <f>SUM(AR39:BC39)</f>
        <v>224.99199281790004</v>
      </c>
    </row>
    <row r="86">
      <c r="A86" s="4" t="inlineStr">
        <is>
          <t>Payroll: Installer network &amp; partnerships</t>
        </is>
      </c>
      <c r="C86" s="34">
        <f>SUM(C40:G40)</f>
        <v>7.875</v>
      </c>
      <c r="D86" s="34">
        <f>SUM(H40:S40)</f>
        <v>59.227875000000004</v>
      </c>
      <c r="E86" s="34">
        <f>SUM(T40:AE40)</f>
        <v>116.20509075000001</v>
      </c>
      <c r="F86" s="34">
        <f>SUM(AF40:AQ40)</f>
        <v>168.88473189000004</v>
      </c>
      <c r="G86" s="34">
        <f>SUM(AR40:BC40)</f>
        <v>230.1054472001251</v>
      </c>
    </row>
    <row r="87">
      <c r="A87" s="4" t="inlineStr">
        <is>
          <t>Payroll: Customer &amp; installer support</t>
        </is>
      </c>
      <c r="C87" s="34">
        <f>SUM(C41:G41)</f>
        <v>1.96875</v>
      </c>
      <c r="D87" s="34">
        <f>SUM(H41:S41)</f>
        <v>17.7683625</v>
      </c>
      <c r="E87" s="34">
        <f>SUM(T41:AE41)</f>
        <v>38.735030249999994</v>
      </c>
      <c r="F87" s="34">
        <f>SUM(AF41:AQ41)</f>
        <v>63.331774458750004</v>
      </c>
      <c r="G87" s="34">
        <f>SUM(AR41:BC41)</f>
        <v>92.04217888005003</v>
      </c>
    </row>
    <row r="88">
      <c r="A88" s="4" t="inlineStr">
        <is>
          <t>Payroll: State / DISCOM sales</t>
        </is>
      </c>
      <c r="C88" s="34">
        <f>SUM(C42:G42)</f>
        <v>0.0</v>
      </c>
      <c r="D88" s="34">
        <f>SUM(H42:S42)</f>
        <v>31.588199999999997</v>
      </c>
      <c r="E88" s="34">
        <f>SUM(T42:AE42)</f>
        <v>68.86227600000001</v>
      </c>
      <c r="F88" s="34">
        <f>SUM(AF42:AQ42)</f>
        <v>112.58982126000002</v>
      </c>
      <c r="G88" s="34">
        <f>SUM(AR42:BC42)</f>
        <v>163.63054023120003</v>
      </c>
    </row>
    <row r="89">
      <c r="A89" s="4" t="inlineStr">
        <is>
          <t>Payroll: G&amp;A (founder-CEO, finance, HR, legal)</t>
        </is>
      </c>
      <c r="C89" s="34">
        <f>SUM(C43:G43)</f>
        <v>6.5625</v>
      </c>
      <c r="D89" s="34">
        <f>SUM(H43:S43)</f>
        <v>39.48525</v>
      </c>
      <c r="E89" s="34">
        <f>SUM(T43:AE43)</f>
        <v>86.077845</v>
      </c>
      <c r="F89" s="34">
        <f>SUM(AF43:AQ43)</f>
        <v>140.737276575</v>
      </c>
      <c r="G89" s="34">
        <f>SUM(AR43:BC43)</f>
        <v>204.53817528900007</v>
      </c>
    </row>
    <row r="90">
      <c r="A90" s="4" t="inlineStr">
        <is>
          <t>Payroll: lead-verification callers</t>
        </is>
      </c>
      <c r="C90" s="34">
        <f>SUM(C44:G44)</f>
        <v>1.8900000000000001</v>
      </c>
      <c r="D90" s="34">
        <f>SUM(H44:S44)</f>
        <v>20.601000000000024</v>
      </c>
      <c r="E90" s="34">
        <f>SUM(T44:AE44)</f>
        <v>67.36527000000001</v>
      </c>
      <c r="F90" s="34">
        <f>SUM(AF44:AQ44)</f>
        <v>152.97530062499987</v>
      </c>
      <c r="G90" s="34">
        <f>SUM(AR44:BC44)</f>
        <v>266.78892428999984</v>
      </c>
    </row>
    <row r="91">
      <c r="A91" s="4" t="inlineStr">
        <is>
          <t>Total payroll</t>
        </is>
      </c>
      <c r="C91" s="34">
        <f>SUM(C45:G45)</f>
        <v>76.92125</v>
      </c>
      <c r="D91" s="34">
        <f>SUM(H45:S45)</f>
        <v>579.3172875</v>
      </c>
      <c r="E91" s="34">
        <f>SUM(T45:AE45)</f>
        <v>1065.8682720000002</v>
      </c>
      <c r="F91" s="34">
        <f>SUM(AF45:AQ45)</f>
        <v>1633.0623259387503</v>
      </c>
      <c r="G91" s="34">
        <f>SUM(AR45:BC45)</f>
        <v>2307.0572227977755</v>
      </c>
    </row>
    <row r="92">
      <c r="A92" s="4" t="inlineStr">
        <is>
          <t>G&amp;A</t>
        </is>
      </c>
      <c r="C92" s="34">
        <f>SUM(C46:G46)</f>
        <v>11.5381875</v>
      </c>
      <c r="D92" s="34">
        <f>SUM(H46:S46)</f>
        <v>86.89759312500001</v>
      </c>
      <c r="E92" s="34">
        <f>SUM(T46:AE46)</f>
        <v>159.88024080000002</v>
      </c>
      <c r="F92" s="34">
        <f>SUM(AF46:AQ46)</f>
        <v>244.9593488908125</v>
      </c>
      <c r="G92" s="34">
        <f>SUM(AR46:BC46)</f>
        <v>346.05858341966626</v>
      </c>
    </row>
    <row r="93">
      <c r="A93" s="4" t="inlineStr">
        <is>
          <t>Office, tools, compliance</t>
        </is>
      </c>
      <c r="C93" s="34">
        <f>SUM(C47:G47)</f>
        <v>10.0</v>
      </c>
      <c r="D93" s="34">
        <f>SUM(H47:S47)</f>
        <v>49.99999999999999</v>
      </c>
      <c r="E93" s="34">
        <f>SUM(T47:AE47)</f>
        <v>99.99999999999999</v>
      </c>
      <c r="F93" s="34">
        <f>SUM(AF47:AQ47)</f>
        <v>150.0</v>
      </c>
      <c r="G93" s="34">
        <f>SUM(AR47:BC47)</f>
        <v>199.99999999999997</v>
      </c>
    </row>
    <row r="94">
      <c r="A94" s="3" t="inlineStr">
        <is>
          <t>Operating expenses</t>
        </is>
      </c>
      <c r="C94" s="35">
        <f>SUM(C48:G48)</f>
        <v>98.4594375</v>
      </c>
      <c r="D94" s="35">
        <f>SUM(H48:S48)</f>
        <v>716.2148806250001</v>
      </c>
      <c r="E94" s="35">
        <f>SUM(T48:AE48)</f>
        <v>1325.7485128</v>
      </c>
      <c r="F94" s="35">
        <f>SUM(AF48:AQ48)</f>
        <v>2028.0216748295622</v>
      </c>
      <c r="G94" s="35">
        <f>SUM(AR48:BC48)</f>
        <v>2853.1158062174413</v>
      </c>
    </row>
    <row r="95">
      <c r="A95" s="3" t="inlineStr">
        <is>
          <t>EBITDA</t>
        </is>
      </c>
      <c r="C95" s="35">
        <f>SUM(C49:G49)</f>
        <v>-59.55985465008</v>
      </c>
      <c r="D95" s="35">
        <f>SUM(H49:S49)</f>
        <v>-11.759774221069819</v>
      </c>
      <c r="E95" s="35">
        <f>SUM(T49:AE49)</f>
        <v>1046.2134084795102</v>
      </c>
      <c r="F95" s="35">
        <f>SUM(AF49:AQ49)</f>
        <v>3040.095525834455</v>
      </c>
      <c r="G95" s="35">
        <f>SUM(AR49:BC49)</f>
        <v>5601.428395382617</v>
      </c>
    </row>
    <row r="96">
      <c r="A96" s="4" t="inlineStr">
        <is>
          <t>Depreciation</t>
        </is>
      </c>
      <c r="C96" s="34">
        <f>SUM(C52:G52)</f>
        <v>1.1800000000000002</v>
      </c>
      <c r="D96" s="34">
        <f>SUM(H52:S52)</f>
        <v>10.215</v>
      </c>
      <c r="E96" s="34">
        <f>SUM(T52:AE52)</f>
        <v>20.369999999999997</v>
      </c>
      <c r="F96" s="34">
        <f>SUM(AF52:AQ52)</f>
        <v>32.084999999999994</v>
      </c>
      <c r="G96" s="34">
        <f>SUM(AR52:BC52)</f>
        <v>44.699999999999974</v>
      </c>
    </row>
    <row r="97">
      <c r="A97" s="3" t="inlineStr">
        <is>
          <t>Profit before tax</t>
        </is>
      </c>
      <c r="C97" s="35">
        <f>SUM(C53:G53)</f>
        <v>-60.73985465008</v>
      </c>
      <c r="D97" s="35">
        <f>SUM(H53:S53)</f>
        <v>-21.974774221069833</v>
      </c>
      <c r="E97" s="35">
        <f>SUM(T53:AE53)</f>
        <v>1025.8434084795103</v>
      </c>
      <c r="F97" s="35">
        <f>SUM(AF53:AQ53)</f>
        <v>3008.010525834455</v>
      </c>
      <c r="G97" s="35">
        <f>SUM(AR53:BC53)</f>
        <v>5556.728395382616</v>
      </c>
    </row>
    <row r="98">
      <c r="A98" s="4" t="inlineStr">
        <is>
          <t>Tax losses brought forward</t>
        </is>
      </c>
      <c r="C98" s="34" t="n">
        <v>0</v>
      </c>
      <c r="D98" s="34">
        <f>C99</f>
        <v>60.73985465008</v>
      </c>
      <c r="E98" s="34">
        <f>D99</f>
        <v>82.71462887114983</v>
      </c>
      <c r="F98" s="34">
        <f>E99</f>
        <v>0.0</v>
      </c>
      <c r="G98" s="34">
        <f>F99</f>
        <v>0.0</v>
      </c>
    </row>
    <row r="99">
      <c r="A99" s="4" t="inlineStr">
        <is>
          <t>Tax losses carried forward (s.112: up to 8 years)</t>
        </is>
      </c>
      <c r="C99" s="34">
        <f>MAX(0,C98-C97)</f>
        <v>60.73985465008</v>
      </c>
      <c r="D99" s="34">
        <f>MAX(0,D98-D97)</f>
        <v>82.71462887114983</v>
      </c>
      <c r="E99" s="34">
        <f>MAX(0,E98-E97)</f>
        <v>0.0</v>
      </c>
      <c r="F99" s="34">
        <f>MAX(0,F98-F97)</f>
        <v>0.0</v>
      </c>
      <c r="G99" s="34">
        <f>MAX(0,G98-G97)</f>
        <v>0.0</v>
      </c>
    </row>
    <row r="100">
      <c r="A100" s="4" t="inlineStr">
        <is>
          <t>Taxable profit</t>
        </is>
      </c>
      <c r="C100" s="34">
        <f>MAX(0,C97-C98)</f>
        <v>0.0</v>
      </c>
      <c r="D100" s="34">
        <f>MAX(0,D97-D98)</f>
        <v>0.0</v>
      </c>
      <c r="E100" s="34">
        <f>MAX(0,E97-E98)</f>
        <v>943.1287796083606</v>
      </c>
      <c r="F100" s="34">
        <f>MAX(0,F97-F98)</f>
        <v>3008.010525834455</v>
      </c>
      <c r="G100" s="34">
        <f>MAX(0,G97-G98)</f>
        <v>5556.728395382616</v>
      </c>
    </row>
    <row r="101">
      <c r="A101" s="4" t="inlineStr">
        <is>
          <t>Tax</t>
        </is>
      </c>
      <c r="C101" s="34">
        <f>C100*Assumptions!$C$77</f>
        <v>0.0</v>
      </c>
      <c r="D101" s="34">
        <f>D100*Assumptions!$C$77</f>
        <v>0.0</v>
      </c>
      <c r="E101" s="34">
        <f>E100*Assumptions!$C$77</f>
        <v>237.3666512518322</v>
      </c>
      <c r="F101" s="34">
        <f>F100*Assumptions!$C$77</f>
        <v>757.0560891420157</v>
      </c>
      <c r="G101" s="34">
        <f>G100*Assumptions!$C$77</f>
        <v>1398.517402549897</v>
      </c>
    </row>
    <row r="102">
      <c r="A102" s="3" t="inlineStr">
        <is>
          <t>Profit after tax</t>
        </is>
      </c>
      <c r="C102" s="35">
        <f>C97-C101</f>
        <v>-60.73985465008</v>
      </c>
      <c r="D102" s="35">
        <f>D97-D101</f>
        <v>-21.974774221069833</v>
      </c>
      <c r="E102" s="35">
        <f>E97-E101</f>
        <v>788.4767572276781</v>
      </c>
      <c r="F102" s="35">
        <f>F97-F101</f>
        <v>2250.9544366924392</v>
      </c>
      <c r="G102" s="35">
        <f>G97-G101</f>
        <v>4158.210992832719</v>
      </c>
    </row>
    <row r="103">
      <c r="A103" s="4" t="inlineStr">
        <is>
          <t>Capex</t>
        </is>
      </c>
      <c r="C103" s="34">
        <f>SUM(C51:G51)</f>
        <v>12.1536</v>
      </c>
      <c r="D103" s="34">
        <f>SUM(H51:S51)</f>
        <v>30.749646228086302</v>
      </c>
      <c r="E103" s="34">
        <f>SUM(T51:AE51)</f>
        <v>34.022581219030236</v>
      </c>
      <c r="F103" s="34">
        <f>SUM(AF51:AQ51)</f>
        <v>50.8967908288794</v>
      </c>
      <c r="G103" s="34">
        <f>SUM(AR51:BC51)</f>
        <v>65.63151777432509</v>
      </c>
    </row>
    <row r="104">
      <c r="A104" s="4" t="inlineStr">
        <is>
          <t>Increase in working capital</t>
        </is>
      </c>
      <c r="C104" s="34">
        <f>SUM(C59:G59)</f>
        <v>9.24499395072</v>
      </c>
      <c r="D104" s="34">
        <f>SUM(H59:S59)</f>
        <v>68.48426606618652</v>
      </c>
      <c r="E104" s="34">
        <f>SUM(T59:AE59)</f>
        <v>151.54201276581756</v>
      </c>
      <c r="F104" s="34">
        <f>SUM(AF59:AQ59)</f>
        <v>218.5646089903635</v>
      </c>
      <c r="G104" s="34">
        <f>SUM(AR59:BC59)</f>
        <v>247.50482568987803</v>
      </c>
    </row>
    <row r="105">
      <c r="A105" s="4" t="inlineStr">
        <is>
          <t>Equity raised</t>
        </is>
      </c>
      <c r="C105" s="34">
        <f>SUM(C61:G61)</f>
        <v>600.0</v>
      </c>
      <c r="D105" s="34">
        <f>SUM(H61:S61)</f>
        <v>0.0</v>
      </c>
      <c r="E105" s="34">
        <f>SUM(T61:AE61)</f>
        <v>0.0</v>
      </c>
      <c r="F105" s="34">
        <f>SUM(AF61:AQ61)</f>
        <v>0.0</v>
      </c>
      <c r="G105" s="34">
        <f>SUM(AR61:BC61)</f>
        <v>0.0</v>
      </c>
    </row>
    <row r="106">
      <c r="A106" s="3" t="inlineStr">
        <is>
          <t>Closing cash (year end)</t>
        </is>
      </c>
      <c r="C106" s="35">
        <f>G64</f>
        <v>539.0415513992</v>
      </c>
      <c r="D106" s="35">
        <f>S64</f>
        <v>428.0478648838572</v>
      </c>
      <c r="E106" s="35">
        <f>AE64</f>
        <v>1051.3300281266877</v>
      </c>
      <c r="F106" s="35">
        <f>AQ64</f>
        <v>3064.908064999884</v>
      </c>
      <c r="G106" s="35">
        <f>BC64</f>
        <v>6954.682714368403</v>
      </c>
    </row>
    <row r="107">
      <c r="A107" s="4" t="inlineStr">
        <is>
          <t>Working capital (year end)</t>
        </is>
      </c>
      <c r="C107" s="34">
        <f>G58</f>
        <v>9.24499395072</v>
      </c>
      <c r="D107" s="34">
        <f>S58</f>
        <v>77.72926001690652</v>
      </c>
      <c r="E107" s="34">
        <f>AE58</f>
        <v>229.27127278272408</v>
      </c>
      <c r="F107" s="34">
        <f>AQ58</f>
        <v>447.8358817730876</v>
      </c>
      <c r="G107" s="34">
        <f>BC58</f>
        <v>695.3407074629656</v>
      </c>
    </row>
    <row r="108">
      <c r="A108" s="4" t="inlineStr">
        <is>
          <t>Average heads</t>
        </is>
      </c>
      <c r="C108" s="34">
        <f>AVERAGE(C36:G36)</f>
        <v>12.440000000000001</v>
      </c>
      <c r="D108" s="34">
        <f>AVERAGE(H36:S36)</f>
        <v>37.050000000000004</v>
      </c>
      <c r="E108" s="34">
        <f>AVERAGE(T36:AE36)</f>
        <v>70.89999999999999</v>
      </c>
      <c r="F108" s="34">
        <f>AVERAGE(AF36:AQ36)</f>
        <v>109.94999999999995</v>
      </c>
      <c r="G108" s="34">
        <f>AVERAGE(AR36:BC36)</f>
        <v>151.99999999999991</v>
      </c>
    </row>
    <row r="109">
      <c r="A109" s="4" t="inlineStr">
        <is>
          <t>Heads at year end</t>
        </is>
      </c>
      <c r="C109" s="34">
        <f>G36</f>
        <v>16.504</v>
      </c>
      <c r="D109" s="34">
        <f>S36</f>
        <v>50.67027358676256</v>
      </c>
      <c r="E109" s="34">
        <f>AE36</f>
        <v>88.47314160790727</v>
      </c>
      <c r="F109" s="34">
        <f>AQ36</f>
        <v>131.52113141777326</v>
      </c>
      <c r="G109" s="34">
        <f>BC36</f>
        <v>170.27876646914967</v>
      </c>
    </row>
    <row r="110">
      <c r="A110" s="4" t="inlineStr">
        <is>
          <t>EBITDA margin</t>
        </is>
      </c>
      <c r="C110" s="38">
        <f>IF(C79=0,0,C95/C79)</f>
        <v>-0.6842469108873136</v>
      </c>
      <c r="D110" s="38">
        <f>IF(D79=0,0,D95/D79)</f>
        <v>-0.01056230656382379</v>
      </c>
      <c r="E110" s="38">
        <f>IF(E79=0,0,E95/E79)</f>
        <v>0.30123317338801714</v>
      </c>
      <c r="F110" s="38">
        <f>IF(F79=0,0,F95/F79)</f>
        <v>0.4289242704753502</v>
      </c>
      <c r="G110" s="38">
        <f>IF(G79=0,0,G95/G79)</f>
        <v>0.4881879801274609</v>
      </c>
    </row>
    <row r="112">
      <c r="A112" s="13" t="inlineStr">
        <is>
          <t>Funding metrics</t>
        </is>
      </c>
      <c r="B112" s="14" t="n"/>
      <c r="C112" s="14" t="n"/>
    </row>
    <row r="113">
      <c r="A113" t="inlineStr">
        <is>
          <t>Break-even month number (EBITDA &gt; 0 from here on)</t>
        </is>
      </c>
      <c r="C113" s="39">
        <f>BC66+1</f>
        <v>13.0</v>
      </c>
    </row>
    <row r="114">
      <c r="A114" t="inlineStr">
        <is>
          <t>Break-even month</t>
        </is>
      </c>
      <c r="C114" s="40" t="str">
        <f>IF(C113&gt;53,"beyond FY31",INDEX($C$3:$BC$3,1,C113))</f>
        <v>Nov-27</v>
      </c>
    </row>
    <row r="115">
      <c r="A115" t="inlineStr">
        <is>
          <t>Lowest closing cash (₹ lakh)</t>
        </is>
      </c>
      <c r="C115" s="35">
        <f>MIN($C$64:$BC$64)</f>
        <v>401.3211425060975</v>
      </c>
    </row>
    <row r="116">
      <c r="A116" t="inlineStr">
        <is>
          <t>Month of the low point</t>
        </is>
      </c>
      <c r="C116" s="40" t="str">
        <f>INDEX($C$3:$BC$3,1,MATCH(C115,$C$64:$BC$64,0))</f>
        <v>Dec-27</v>
      </c>
    </row>
    <row r="117">
      <c r="A117" t="inlineStr">
        <is>
          <t>Extra funding needed to stay above zero (₹ lakh)</t>
        </is>
      </c>
      <c r="C117" s="35">
        <f>MAX(0,-C115)</f>
        <v>0.0</v>
      </c>
    </row>
    <row r="118">
      <c r="A118" t="inlineStr">
        <is>
          <t>Peak monthly operating burn (₹ lakh)</t>
        </is>
      </c>
      <c r="C118" s="35">
        <f>MAX($C$65:$BC$65)</f>
        <v>39.68474370002702</v>
      </c>
    </row>
    <row r="119">
      <c r="A119" t="inlineStr">
        <is>
          <t>Month cash would run out without new money</t>
        </is>
      </c>
      <c r="C119" s="40" t="str">
        <f>IF(BC67=0,"never",INDEX($C$3:$BC$3,1,BC67))</f>
        <v>never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1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Profit and loss: Base case</t>
        </is>
      </c>
    </row>
    <row r="2">
      <c r="A2" s="2" t="inlineStr">
        <is>
          <t>Sums of the monthly engine (M-Base). FY27* is Nov 2026 to Mar 2027.</t>
        </is>
      </c>
    </row>
    <row r="3">
      <c r="A3" s="11" t="inlineStr">
        <is>
          <t>₹ lakh unless stated</t>
        </is>
      </c>
      <c r="B3" s="11" t="inlineStr">
        <is>
          <t>Unit / note</t>
        </is>
      </c>
      <c r="C3" s="12" t="inlineStr">
        <is>
          <t>FY27*</t>
        </is>
      </c>
      <c r="D3" s="12" t="inlineStr">
        <is>
          <t>FY28</t>
        </is>
      </c>
      <c r="E3" s="12" t="inlineStr">
        <is>
          <t>FY29</t>
        </is>
      </c>
      <c r="F3" s="12" t="inlineStr">
        <is>
          <t>FY30</t>
        </is>
      </c>
      <c r="G3" s="12" t="inlineStr">
        <is>
          <t>FY31</t>
        </is>
      </c>
    </row>
    <row r="4">
      <c r="A4" s="4" t="inlineStr">
        <is>
          <t>Roof Reports</t>
        </is>
      </c>
      <c r="C4" s="41">
        <f>'M-Base'!C71</f>
        <v>40000.0</v>
      </c>
      <c r="D4" s="41">
        <f>'M-Base'!D71</f>
        <v>400000.0000000004</v>
      </c>
      <c r="E4" s="41">
        <f>'M-Base'!E71</f>
        <v>1200000.0</v>
      </c>
      <c r="F4" s="41">
        <f>'M-Base'!F71</f>
        <v>2499999.9999999977</v>
      </c>
      <c r="G4" s="41">
        <f>'M-Base'!G71</f>
        <v>3999999.9999999967</v>
      </c>
    </row>
    <row r="5">
      <c r="A5" s="4" t="inlineStr">
        <is>
          <t>Verified leads</t>
        </is>
      </c>
      <c r="C5" s="41">
        <f>'M-Base'!C72</f>
        <v>3200.0</v>
      </c>
      <c r="D5" s="41">
        <f>'M-Base'!D72</f>
        <v>32000.00000000003</v>
      </c>
      <c r="E5" s="41">
        <f>'M-Base'!E72</f>
        <v>96000.0</v>
      </c>
      <c r="F5" s="41">
        <f>'M-Base'!F72</f>
        <v>199999.9999999998</v>
      </c>
      <c r="G5" s="41">
        <f>'M-Base'!G72</f>
        <v>319999.99999999965</v>
      </c>
    </row>
    <row r="6">
      <c r="A6" s="4" t="inlineStr">
        <is>
          <t>Installed homes</t>
        </is>
      </c>
      <c r="C6" s="41">
        <f>'M-Base'!C73</f>
        <v>268.8</v>
      </c>
      <c r="D6" s="41">
        <f>'M-Base'!D73</f>
        <v>4905.093241229742</v>
      </c>
      <c r="E6" s="41">
        <f>'M-Base'!E73</f>
        <v>16673.52266909019</v>
      </c>
      <c r="F6" s="41">
        <f>'M-Base'!F73</f>
        <v>35727.039958069996</v>
      </c>
      <c r="G6" s="41">
        <f>'M-Base'!G73</f>
        <v>60506.657446399426</v>
      </c>
    </row>
    <row r="8">
      <c r="A8" s="4" t="inlineStr">
        <is>
          <t>Lead fees (net of credits)</t>
        </is>
      </c>
      <c r="C8" s="42">
        <f>'M-Base'!C74</f>
        <v>45.6</v>
      </c>
      <c r="D8" s="42">
        <f>'M-Base'!D74</f>
        <v>456.0000000000005</v>
      </c>
      <c r="E8" s="42">
        <f>'M-Base'!E74</f>
        <v>1367.9999999999998</v>
      </c>
      <c r="F8" s="42">
        <f>'M-Base'!F74</f>
        <v>2849.9999999999973</v>
      </c>
      <c r="G8" s="42">
        <f>'M-Base'!G74</f>
        <v>4559.999999999995</v>
      </c>
    </row>
    <row r="9">
      <c r="A9" s="4" t="inlineStr">
        <is>
          <t>Success fees (collected)</t>
        </is>
      </c>
      <c r="C9" s="42">
        <f>'M-Base'!C75</f>
        <v>8.481177599999999</v>
      </c>
      <c r="D9" s="42">
        <f>'M-Base'!D75</f>
        <v>152.0971312240518</v>
      </c>
      <c r="E9" s="42">
        <f>'M-Base'!E75</f>
        <v>507.94219459116357</v>
      </c>
      <c r="F9" s="42">
        <f>'M-Base'!F75</f>
        <v>1068.9530355454544</v>
      </c>
      <c r="G9" s="42">
        <f>'M-Base'!G75</f>
        <v>1777.4435691454294</v>
      </c>
    </row>
    <row r="10">
      <c r="A10" s="4" t="inlineStr">
        <is>
          <t>Loan origination</t>
        </is>
      </c>
      <c r="C10" s="42">
        <f>'M-Base'!C76</f>
        <v>1.50528</v>
      </c>
      <c r="D10" s="42">
        <f>'M-Base'!D76</f>
        <v>27.46852215088655</v>
      </c>
      <c r="E10" s="42">
        <f>'M-Base'!E76</f>
        <v>93.37172694690508</v>
      </c>
      <c r="F10" s="42">
        <f>'M-Base'!F76</f>
        <v>200.07142376519198</v>
      </c>
      <c r="G10" s="42">
        <f>'M-Base'!G76</f>
        <v>338.83728169983675</v>
      </c>
    </row>
    <row r="11">
      <c r="A11" s="4" t="inlineStr">
        <is>
          <t>Installer SaaS</t>
        </is>
      </c>
      <c r="C11" s="42">
        <f>'M-Base'!C77</f>
        <v>3.7487500000000002</v>
      </c>
      <c r="D11" s="42">
        <f>'M-Base'!D77</f>
        <v>107.964</v>
      </c>
      <c r="E11" s="42">
        <f>'M-Base'!E77</f>
        <v>323.892</v>
      </c>
      <c r="F11" s="42">
        <f>'M-Base'!F77</f>
        <v>575.808</v>
      </c>
      <c r="G11" s="42">
        <f>'M-Base'!G77</f>
        <v>899.7000000000002</v>
      </c>
    </row>
    <row r="12">
      <c r="A12" s="4" t="inlineStr">
        <is>
          <t>State / DISCOM analytics</t>
        </is>
      </c>
      <c r="C12" s="42">
        <f>'M-Base'!C78</f>
        <v>0.0</v>
      </c>
      <c r="D12" s="42">
        <f>'M-Base'!D78</f>
        <v>40.00000000000001</v>
      </c>
      <c r="E12" s="42">
        <f>'M-Base'!E78</f>
        <v>120.0</v>
      </c>
      <c r="F12" s="42">
        <f>'M-Base'!F78</f>
        <v>240.0</v>
      </c>
      <c r="G12" s="42">
        <f>'M-Base'!G78</f>
        <v>399.99999999999994</v>
      </c>
    </row>
    <row r="13">
      <c r="A13" s="3" t="inlineStr">
        <is>
          <t>Total revenue</t>
        </is>
      </c>
      <c r="C13" s="43">
        <f>'M-Base'!C79</f>
        <v>59.335207600000004</v>
      </c>
      <c r="D13" s="43">
        <f>'M-Base'!D79</f>
        <v>783.5296533749388</v>
      </c>
      <c r="E13" s="43">
        <f>'M-Base'!E79</f>
        <v>2413.205921538069</v>
      </c>
      <c r="F13" s="43">
        <f>'M-Base'!F79</f>
        <v>4934.832459310644</v>
      </c>
      <c r="G13" s="43">
        <f>'M-Base'!G79</f>
        <v>7975.9808508452625</v>
      </c>
    </row>
    <row r="15">
      <c r="A15" s="4" t="inlineStr">
        <is>
          <t>Customer acquisition</t>
        </is>
      </c>
      <c r="C15" s="42">
        <f>'M-Base'!C80</f>
        <v>40.0</v>
      </c>
      <c r="D15" s="42">
        <f>'M-Base'!D80</f>
        <v>340.00000000000034</v>
      </c>
      <c r="E15" s="42">
        <f>'M-Base'!E80</f>
        <v>900.0</v>
      </c>
      <c r="F15" s="42">
        <f>'M-Base'!F80</f>
        <v>1624.9999999999984</v>
      </c>
      <c r="G15" s="42">
        <f>'M-Base'!G80</f>
        <v>2399.9999999999977</v>
      </c>
    </row>
    <row r="16">
      <c r="A16" s="4" t="inlineStr">
        <is>
          <t>AI + infrastructure</t>
        </is>
      </c>
      <c r="C16" s="42">
        <f>'M-Base'!C81</f>
        <v>1.9445625000000002</v>
      </c>
      <c r="D16" s="42">
        <f>'M-Base'!D81</f>
        <v>6.9296125000000055</v>
      </c>
      <c r="E16" s="42">
        <f>'M-Base'!E81</f>
        <v>20.788837499999996</v>
      </c>
      <c r="F16" s="42">
        <f>'M-Base'!F81</f>
        <v>43.310078124999954</v>
      </c>
      <c r="G16" s="42">
        <f>'M-Base'!G81</f>
        <v>69.29612499999993</v>
      </c>
    </row>
    <row r="17">
      <c r="A17" s="4" t="inlineStr">
        <is>
          <t>Payments + partner ops</t>
        </is>
      </c>
      <c r="C17" s="42">
        <f>'M-Base'!C82</f>
        <v>1.7800562280000003</v>
      </c>
      <c r="D17" s="42">
        <f>'M-Base'!D82</f>
        <v>23.505889601248164</v>
      </c>
      <c r="E17" s="42">
        <f>'M-Base'!E82</f>
        <v>72.39617764614205</v>
      </c>
      <c r="F17" s="42">
        <f>'M-Base'!F82</f>
        <v>148.04497377931932</v>
      </c>
      <c r="G17" s="42">
        <f>'M-Base'!G82</f>
        <v>239.27942552535782</v>
      </c>
    </row>
    <row r="18">
      <c r="A18" s="3" t="inlineStr">
        <is>
          <t>Gross profit</t>
        </is>
      </c>
      <c r="C18" s="43">
        <f>'M-Base'!C83</f>
        <v>15.610588872000005</v>
      </c>
      <c r="D18" s="43">
        <f>'M-Base'!D83</f>
        <v>413.0941512736903</v>
      </c>
      <c r="E18" s="43">
        <f>'M-Base'!E83</f>
        <v>1420.0209063919265</v>
      </c>
      <c r="F18" s="43">
        <f>'M-Base'!F83</f>
        <v>3118.477407406326</v>
      </c>
      <c r="G18" s="43">
        <f>'M-Base'!G83</f>
        <v>5267.405300319905</v>
      </c>
    </row>
    <row r="20">
      <c r="A20" s="4" t="inlineStr">
        <is>
          <t>Payroll</t>
        </is>
      </c>
      <c r="C20" s="42">
        <f>'M-Base'!C91</f>
        <v>76.43124999999999</v>
      </c>
      <c r="D20" s="42">
        <f>'M-Base'!D91</f>
        <v>501.1002500000001</v>
      </c>
      <c r="E20" s="42">
        <f>'M-Base'!E91</f>
        <v>918.1636800000002</v>
      </c>
      <c r="F20" s="42">
        <f>'M-Base'!F91</f>
        <v>1400.3472334250002</v>
      </c>
      <c r="G20" s="42">
        <f>'M-Base'!G91</f>
        <v>1971.7677719285002</v>
      </c>
    </row>
    <row r="21">
      <c r="A21" s="4" t="inlineStr">
        <is>
          <t>G&amp;A</t>
        </is>
      </c>
      <c r="C21" s="42">
        <f>'M-Base'!C92</f>
        <v>11.4646875</v>
      </c>
      <c r="D21" s="42">
        <f>'M-Base'!D92</f>
        <v>75.16503750000001</v>
      </c>
      <c r="E21" s="42">
        <f>'M-Base'!E92</f>
        <v>137.72455200000005</v>
      </c>
      <c r="F21" s="42">
        <f>'M-Base'!F92</f>
        <v>210.05208501375</v>
      </c>
      <c r="G21" s="42">
        <f>'M-Base'!G92</f>
        <v>295.7651657892751</v>
      </c>
    </row>
    <row r="22">
      <c r="A22" s="4" t="inlineStr">
        <is>
          <t>Office, tools, compliance</t>
        </is>
      </c>
      <c r="C22" s="42">
        <f>'M-Base'!C93</f>
        <v>10.0</v>
      </c>
      <c r="D22" s="42">
        <f>'M-Base'!D93</f>
        <v>49.99999999999999</v>
      </c>
      <c r="E22" s="42">
        <f>'M-Base'!E93</f>
        <v>99.99999999999999</v>
      </c>
      <c r="F22" s="42">
        <f>'M-Base'!F93</f>
        <v>150.0</v>
      </c>
      <c r="G22" s="42">
        <f>'M-Base'!G93</f>
        <v>199.99999999999997</v>
      </c>
    </row>
    <row r="23">
      <c r="A23" s="3" t="inlineStr">
        <is>
          <t>Operating expenses</t>
        </is>
      </c>
      <c r="C23" s="43">
        <f>'M-Base'!C94</f>
        <v>97.89593749999999</v>
      </c>
      <c r="D23" s="43">
        <f>'M-Base'!D94</f>
        <v>626.2652875</v>
      </c>
      <c r="E23" s="43">
        <f>'M-Base'!E94</f>
        <v>1155.888232</v>
      </c>
      <c r="F23" s="43">
        <f>'M-Base'!F94</f>
        <v>1760.39931843875</v>
      </c>
      <c r="G23" s="43">
        <f>'M-Base'!G94</f>
        <v>2467.5329377177754</v>
      </c>
    </row>
    <row r="25">
      <c r="A25" s="3" t="inlineStr">
        <is>
          <t>EBITDA</t>
        </is>
      </c>
      <c r="C25" s="43">
        <f>'M-Base'!C95</f>
        <v>-82.285348628</v>
      </c>
      <c r="D25" s="43">
        <f>'M-Base'!D95</f>
        <v>-213.17113622630976</v>
      </c>
      <c r="E25" s="43">
        <f>'M-Base'!E95</f>
        <v>264.13267439192646</v>
      </c>
      <c r="F25" s="43">
        <f>'M-Base'!F95</f>
        <v>1358.0780889675755</v>
      </c>
      <c r="G25" s="43">
        <f>'M-Base'!G95</f>
        <v>2799.87236260213</v>
      </c>
    </row>
    <row r="26">
      <c r="A26" s="4" t="inlineStr">
        <is>
          <t>Depreciation</t>
        </is>
      </c>
      <c r="C26" s="42">
        <f>'M-Base'!C96</f>
        <v>1.1333333333333333</v>
      </c>
      <c r="D26" s="42">
        <f>'M-Base'!D96</f>
        <v>8.533333333333333</v>
      </c>
      <c r="E26" s="42">
        <f>'M-Base'!E96</f>
        <v>16.9</v>
      </c>
      <c r="F26" s="42">
        <f>'M-Base'!F96</f>
        <v>26.33333333333332</v>
      </c>
      <c r="G26" s="42">
        <f>'M-Base'!G96</f>
        <v>36.43333333333332</v>
      </c>
    </row>
    <row r="27">
      <c r="A27" s="3" t="inlineStr">
        <is>
          <t>Profit before tax</t>
        </is>
      </c>
      <c r="C27" s="43">
        <f>'M-Base'!C97</f>
        <v>-83.41868196133333</v>
      </c>
      <c r="D27" s="43">
        <f>'M-Base'!D97</f>
        <v>-221.70446955964314</v>
      </c>
      <c r="E27" s="43">
        <f>'M-Base'!E97</f>
        <v>247.23267439192642</v>
      </c>
      <c r="F27" s="43">
        <f>'M-Base'!F97</f>
        <v>1331.7447556342422</v>
      </c>
      <c r="G27" s="43">
        <f>'M-Base'!G97</f>
        <v>2763.4390292687967</v>
      </c>
    </row>
    <row r="28">
      <c r="A28" s="4" t="inlineStr">
        <is>
          <t>Tax (after loss set-off)</t>
        </is>
      </c>
      <c r="C28" s="42">
        <f>'M-Base'!C101</f>
        <v>0.0</v>
      </c>
      <c r="D28" s="42">
        <f>'M-Base'!D101</f>
        <v>0.0</v>
      </c>
      <c r="E28" s="42">
        <f>'M-Base'!E101</f>
        <v>0.0</v>
      </c>
      <c r="F28" s="42">
        <f>'M-Base'!F101</f>
        <v>320.6036448141868</v>
      </c>
      <c r="G28" s="42">
        <f>'M-Base'!G101</f>
        <v>695.5023348863708</v>
      </c>
    </row>
    <row r="29">
      <c r="A29" s="3" t="inlineStr">
        <is>
          <t>Profit after tax</t>
        </is>
      </c>
      <c r="C29" s="43">
        <f>'M-Base'!C102</f>
        <v>-83.41868196133333</v>
      </c>
      <c r="D29" s="43">
        <f>'M-Base'!D102</f>
        <v>-221.70446955964314</v>
      </c>
      <c r="E29" s="43">
        <f>'M-Base'!E102</f>
        <v>247.23267439192642</v>
      </c>
      <c r="F29" s="43">
        <f>'M-Base'!F102</f>
        <v>1011.1411108200555</v>
      </c>
      <c r="G29" s="43">
        <f>'M-Base'!G102</f>
        <v>2067.936694382426</v>
      </c>
    </row>
    <row r="31">
      <c r="A31" s="4" t="inlineStr">
        <is>
          <t>Average heads</t>
        </is>
      </c>
      <c r="C31" s="42">
        <f>'M-Base'!C108</f>
        <v>12.066666666666666</v>
      </c>
      <c r="D31" s="42">
        <f>'M-Base'!D108</f>
        <v>31.444444444444446</v>
      </c>
      <c r="E31" s="42">
        <f>'M-Base'!E108</f>
        <v>59.333333333333336</v>
      </c>
      <c r="F31" s="42">
        <f>'M-Base'!F108</f>
        <v>90.77777777777776</v>
      </c>
      <c r="G31" s="42">
        <f>'M-Base'!G108</f>
        <v>124.44444444444439</v>
      </c>
    </row>
    <row r="32">
      <c r="A32" s="4" t="inlineStr">
        <is>
          <t>Heads at year end</t>
        </is>
      </c>
      <c r="C32" s="42">
        <f>'M-Base'!C109</f>
        <v>15.906666666666668</v>
      </c>
      <c r="D32" s="42">
        <f>'M-Base'!D109</f>
        <v>42.61995574328091</v>
      </c>
      <c r="E32" s="42">
        <f>'M-Base'!E109</f>
        <v>73.64059872190661</v>
      </c>
      <c r="F32" s="42">
        <f>'M-Base'!F109</f>
        <v>107.91071463044933</v>
      </c>
      <c r="G32" s="42">
        <f>'M-Base'!G109</f>
        <v>139.13859244628372</v>
      </c>
    </row>
    <row r="34">
      <c r="A34" t="inlineStr">
        <is>
          <t>Gross margin</t>
        </is>
      </c>
      <c r="C34" s="38">
        <f>IF(C13=0,0,C18/C13)</f>
        <v>0.26309150171406837</v>
      </c>
      <c r="D34" s="38">
        <f>IF(D13=0,0,D18/D13)</f>
        <v>0.5272221025641441</v>
      </c>
      <c r="E34" s="38">
        <f>IF(E13=0,0,E18/E13)</f>
        <v>0.5884375194500057</v>
      </c>
      <c r="F34" s="38">
        <f>IF(F13=0,0,F18/F13)</f>
        <v>0.6319317693395314</v>
      </c>
      <c r="G34" s="38">
        <f>IF(G13=0,0,G18/G13)</f>
        <v>0.6604084687291704</v>
      </c>
    </row>
    <row r="35">
      <c r="A35" t="inlineStr">
        <is>
          <t>EBITDA margin</t>
        </is>
      </c>
      <c r="C35" s="38">
        <f>IF(C13=0,0,C25/C13)</f>
        <v>-1.3867879115333202</v>
      </c>
      <c r="D35" s="38">
        <f>IF(D13=0,0,D25/D13)</f>
        <v>-0.2720651800580953</v>
      </c>
      <c r="E35" s="38">
        <f>IF(E13=0,0,E25/E13)</f>
        <v>0.1094530193360292</v>
      </c>
      <c r="F35" s="38">
        <f>IF(F13=0,0,F25/F13)</f>
        <v>0.27520247144465126</v>
      </c>
      <c r="G35" s="38">
        <f>IF(G13=0,0,G25/G13)</f>
        <v>0.3510379995841403</v>
      </c>
    </row>
    <row r="36">
      <c r="A36" t="inlineStr">
        <is>
          <t>Revenue growth</t>
        </is>
      </c>
      <c r="D36" s="38">
        <f>IF(C13=0,0,D13/C13-1)</f>
        <v>12.205138821742974</v>
      </c>
      <c r="E36" s="38">
        <f>IF(D13=0,0,E13/D13-1)</f>
        <v>2.0799165177010717</v>
      </c>
      <c r="F36" s="38">
        <f>IF(E13=0,0,F13/E13-1)</f>
        <v>1.044928041683821</v>
      </c>
      <c r="G36" s="38">
        <f>IF(F13=0,0,G13/F13-1)</f>
        <v>0.6162617305875959</v>
      </c>
    </row>
    <row r="37">
      <c r="A37" t="inlineStr">
        <is>
          <t>Revenue (₹ crore)</t>
        </is>
      </c>
      <c r="C37" s="44">
        <f>C13/100</f>
        <v>0.5933520760000001</v>
      </c>
      <c r="D37" s="44">
        <f>D13/100</f>
        <v>7.835296533749388</v>
      </c>
      <c r="E37" s="44">
        <f>E13/100</f>
        <v>24.132059215380693</v>
      </c>
      <c r="F37" s="44">
        <f>F13/100</f>
        <v>49.34832459310643</v>
      </c>
      <c r="G37" s="44">
        <f>G13/100</f>
        <v>79.75980850845262</v>
      </c>
    </row>
    <row r="38">
      <c r="A38" t="inlineStr">
        <is>
          <t>EBITDA (₹ crore)</t>
        </is>
      </c>
      <c r="C38" s="44">
        <f>C25/100</f>
        <v>-0.82285348628</v>
      </c>
      <c r="D38" s="44">
        <f>D25/100</f>
        <v>-2.1317113622630974</v>
      </c>
      <c r="E38" s="44">
        <f>E25/100</f>
        <v>2.6413267439192647</v>
      </c>
      <c r="F38" s="44">
        <f>F25/100</f>
        <v>13.580780889675754</v>
      </c>
      <c r="G38" s="44">
        <f>G25/100</f>
        <v>27.998723626021302</v>
      </c>
    </row>
    <row r="39">
      <c r="A39" t="inlineStr">
        <is>
          <t>Revenue per average head (₹ lakh)</t>
        </is>
      </c>
      <c r="C39" s="34">
        <f>IF(C31=0,0,C13/C31)</f>
        <v>4.917282397790055</v>
      </c>
      <c r="D39" s="34">
        <f>IF(D31=0,0,D13/D31)</f>
        <v>24.91790417093445</v>
      </c>
      <c r="E39" s="34">
        <f>IF(E31=0,0,E13/E31)</f>
        <v>40.67200991356296</v>
      </c>
      <c r="F39" s="34">
        <f>IF(F31=0,0,F13/F31)</f>
        <v>54.36167947833024</v>
      </c>
      <c r="G39" s="34">
        <f>IF(G31=0,0,G13/G31)</f>
        <v>64.09270326572089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showGridLines="1"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Cash, runway and the ask: Base case</t>
        </is>
      </c>
    </row>
    <row r="2">
      <c r="A2" s="2" t="inlineStr">
        <is>
          <t>Year-end view of the monthly engine. The low point and break-even month come from the monthly rows.</t>
        </is>
      </c>
    </row>
    <row r="3">
      <c r="A3" s="11" t="inlineStr">
        <is>
          <t>₹ lakh unless stated</t>
        </is>
      </c>
      <c r="B3" s="11" t="inlineStr">
        <is>
          <t>Unit / note</t>
        </is>
      </c>
      <c r="C3" s="12" t="inlineStr">
        <is>
          <t>FY27*</t>
        </is>
      </c>
      <c r="D3" s="12" t="inlineStr">
        <is>
          <t>FY28</t>
        </is>
      </c>
      <c r="E3" s="12" t="inlineStr">
        <is>
          <t>FY29</t>
        </is>
      </c>
      <c r="F3" s="12" t="inlineStr">
        <is>
          <t>FY30</t>
        </is>
      </c>
      <c r="G3" s="12" t="inlineStr">
        <is>
          <t>FY31</t>
        </is>
      </c>
    </row>
    <row r="4">
      <c r="A4" s="4" t="inlineStr">
        <is>
          <t>Opening cash</t>
        </is>
      </c>
      <c r="C4" s="34">
        <f>Assumptions!$C$86</f>
        <v>20.0</v>
      </c>
      <c r="D4" s="34">
        <f>C10</f>
        <v>519.87306622</v>
      </c>
      <c r="E4" s="34">
        <f>D10</f>
        <v>231.92668178914613</v>
      </c>
      <c r="F4" s="34">
        <f>E10</f>
        <v>366.3778059408363</v>
      </c>
      <c r="G4" s="34">
        <f>F10</f>
        <v>1200.3637794530596</v>
      </c>
    </row>
    <row r="5">
      <c r="A5" s="4" t="inlineStr">
        <is>
          <t>Equity raised</t>
        </is>
      </c>
      <c r="C5" s="42">
        <f>'M-Base'!C105</f>
        <v>600.0</v>
      </c>
      <c r="D5" s="42">
        <f>'M-Base'!D105</f>
        <v>0.0</v>
      </c>
      <c r="E5" s="42">
        <f>'M-Base'!E105</f>
        <v>0.0</v>
      </c>
      <c r="F5" s="42">
        <f>'M-Base'!F105</f>
        <v>0.0</v>
      </c>
      <c r="G5" s="42">
        <f>'M-Base'!G105</f>
        <v>0.0</v>
      </c>
    </row>
    <row r="6">
      <c r="A6" s="4" t="inlineStr">
        <is>
          <t>EBITDA</t>
        </is>
      </c>
      <c r="C6" s="42">
        <f>'M-Base'!C95</f>
        <v>-82.285348628</v>
      </c>
      <c r="D6" s="42">
        <f>'M-Base'!D95</f>
        <v>-213.17113622630976</v>
      </c>
      <c r="E6" s="42">
        <f>'M-Base'!E95</f>
        <v>264.13267439192646</v>
      </c>
      <c r="F6" s="42">
        <f>'M-Base'!F95</f>
        <v>1358.0780889675755</v>
      </c>
      <c r="G6" s="42">
        <f>'M-Base'!G95</f>
        <v>2799.87236260213</v>
      </c>
    </row>
    <row r="7">
      <c r="A7" s="4" t="inlineStr">
        <is>
          <t>Tax paid</t>
        </is>
      </c>
      <c r="C7" s="42">
        <f>-'M-Base'!C101</f>
        <v>-0.0</v>
      </c>
      <c r="D7" s="42">
        <f>-'M-Base'!D101</f>
        <v>-0.0</v>
      </c>
      <c r="E7" s="42">
        <f>-'M-Base'!E101</f>
        <v>-0.0</v>
      </c>
      <c r="F7" s="42">
        <f>-'M-Base'!F101</f>
        <v>-320.6036448141868</v>
      </c>
      <c r="G7" s="42">
        <f>-'M-Base'!G101</f>
        <v>-695.5023348863708</v>
      </c>
    </row>
    <row r="8">
      <c r="A8" s="4" t="inlineStr">
        <is>
          <t>Capex</t>
        </is>
      </c>
      <c r="C8" s="42">
        <f>-'M-Base'!C103</f>
        <v>-11.616000000000001</v>
      </c>
      <c r="D8" s="42">
        <f>-'M-Base'!D103</f>
        <v>-24.041960168952823</v>
      </c>
      <c r="E8" s="42">
        <f>-'M-Base'!E103</f>
        <v>-27.91857868076313</v>
      </c>
      <c r="F8" s="42">
        <f>-'M-Base'!F103</f>
        <v>-42.45910431768844</v>
      </c>
      <c r="G8" s="42">
        <f>-'M-Base'!G103</f>
        <v>-52.147050203203776</v>
      </c>
    </row>
    <row r="9">
      <c r="A9" s="4" t="inlineStr">
        <is>
          <t>Increase in working capital</t>
        </is>
      </c>
      <c r="C9" s="42">
        <f>-'M-Base'!C104</f>
        <v>-6.225585151999999</v>
      </c>
      <c r="D9" s="42">
        <f>-'M-Base'!D104</f>
        <v>-50.73328803559137</v>
      </c>
      <c r="E9" s="42">
        <f>-'M-Base'!E104</f>
        <v>-101.76297155947313</v>
      </c>
      <c r="F9" s="42">
        <f>-'M-Base'!F104</f>
        <v>-161.02936632347706</v>
      </c>
      <c r="G9" s="42">
        <f>-'M-Base'!G104</f>
        <v>-175.61626870249927</v>
      </c>
    </row>
    <row r="10">
      <c r="A10" s="3" t="inlineStr">
        <is>
          <t>Closing cash</t>
        </is>
      </c>
      <c r="C10" s="45">
        <f>SUM(C4:C9)</f>
        <v>519.87306622</v>
      </c>
      <c r="D10" s="45">
        <f>SUM(D4:D9)</f>
        <v>231.92668178914613</v>
      </c>
      <c r="E10" s="45">
        <f>SUM(E4:E9)</f>
        <v>366.3778059408363</v>
      </c>
      <c r="F10" s="45">
        <f>SUM(F4:F9)</f>
        <v>1200.3637794530596</v>
      </c>
      <c r="G10" s="45">
        <f>SUM(G4:G9)</f>
        <v>3076.970488263116</v>
      </c>
    </row>
    <row r="11">
      <c r="A11" t="inlineStr">
        <is>
          <t>Check: equals the monthly engine</t>
        </is>
      </c>
      <c r="C11" s="44">
        <f>ROUND(C10-'M-Base'!C106,6)</f>
        <v>0.0</v>
      </c>
      <c r="D11" s="44">
        <f>ROUND(D10-'M-Base'!D106,6)</f>
        <v>0.0</v>
      </c>
      <c r="E11" s="44">
        <f>ROUND(E10-'M-Base'!E106,6)</f>
        <v>0.0</v>
      </c>
      <c r="F11" s="44">
        <f>ROUND(F10-'M-Base'!F106,6)</f>
        <v>0.0</v>
      </c>
      <c r="G11" s="44">
        <f>ROUND(G10-'M-Base'!G106,6)</f>
        <v>0.0</v>
      </c>
    </row>
    <row r="13">
      <c r="A13" s="13" t="inlineStr">
        <is>
          <t>The ask</t>
        </is>
      </c>
      <c r="B13" s="14" t="n"/>
      <c r="C13" s="14" t="n"/>
      <c r="D13" s="14" t="n"/>
      <c r="E13" s="14" t="n"/>
      <c r="F13" s="14" t="n"/>
      <c r="G13" s="14" t="n"/>
    </row>
    <row r="14">
      <c r="A14" t="inlineStr">
        <is>
          <t>Seed round</t>
        </is>
      </c>
      <c r="B14" s="2" t="inlineStr">
        <is>
          <t>₹ lakh</t>
        </is>
      </c>
      <c r="C14" s="46">
        <f>Assumptions!$C$87</f>
        <v>600.0</v>
      </c>
    </row>
    <row r="15">
      <c r="A15" t="inlineStr">
        <is>
          <t>Equity offered</t>
        </is>
      </c>
      <c r="B15" s="2" t="inlineStr">
        <is>
          <t>%</t>
        </is>
      </c>
      <c r="C15" s="47">
        <f>Assumptions!$C$88</f>
        <v>0.15</v>
      </c>
    </row>
    <row r="16">
      <c r="A16" t="inlineStr">
        <is>
          <t>Implied post-money valuation</t>
        </is>
      </c>
      <c r="B16" s="2" t="inlineStr">
        <is>
          <t>₹ lakh</t>
        </is>
      </c>
      <c r="C16" s="34">
        <f>C14/C15</f>
        <v>4000.0</v>
      </c>
    </row>
    <row r="17">
      <c r="A17" t="inlineStr">
        <is>
          <t>Implied post-money valuation</t>
        </is>
      </c>
      <c r="B17" s="2" t="inlineStr">
        <is>
          <t>₹ crore</t>
        </is>
      </c>
      <c r="C17" s="44">
        <f>C16/100</f>
        <v>40.0</v>
      </c>
    </row>
    <row r="18">
      <c r="A18" t="inlineStr">
        <is>
          <t>EBITDA break-even (positive every month from)</t>
        </is>
      </c>
      <c r="B18" s="2" t="inlineStr">
        <is>
          <t>month</t>
        </is>
      </c>
      <c r="C18" s="6" t="str">
        <f>'M-Base'!C114</f>
        <v>Apr-28</v>
      </c>
    </row>
    <row r="19">
      <c r="A19" t="inlineStr">
        <is>
          <t>Lowest cash balance</t>
        </is>
      </c>
      <c r="B19" s="2" t="inlineStr">
        <is>
          <t>₹ lakh</t>
        </is>
      </c>
      <c r="C19" s="46">
        <f>'M-Base'!C115</f>
        <v>194.31241764030446</v>
      </c>
    </row>
    <row r="20">
      <c r="A20" t="inlineStr">
        <is>
          <t>Month of the low point</t>
        </is>
      </c>
      <c r="B20" s="2" t="inlineStr">
        <is>
          <t>month</t>
        </is>
      </c>
      <c r="C20" s="9" t="str">
        <f>'M-Base'!C116</f>
        <v>May-28</v>
      </c>
    </row>
    <row r="21">
      <c r="A21" t="inlineStr">
        <is>
          <t>Average monthly operating burn, FY28</t>
        </is>
      </c>
      <c r="B21" s="2" t="inlineStr">
        <is>
          <t>₹ lakh</t>
        </is>
      </c>
      <c r="C21" s="42">
        <f>SUM('M-Base'!H65:S65)/12</f>
        <v>23.9955320359045</v>
      </c>
    </row>
    <row r="22">
      <c r="A22" t="inlineStr">
        <is>
          <t>Low point ÷ FY28 average burn</t>
        </is>
      </c>
      <c r="B22" s="2" t="inlineStr">
        <is>
          <t>months</t>
        </is>
      </c>
      <c r="C22" s="48">
        <f>C19/C21</f>
        <v>8.097858274180165</v>
      </c>
    </row>
    <row r="23">
      <c r="A23" t="inlineStr">
        <is>
          <t>Downside: extra funding needed</t>
        </is>
      </c>
      <c r="B23" s="2" t="inlineStr">
        <is>
          <t>₹ lakh</t>
        </is>
      </c>
      <c r="C23" s="42">
        <f>'M-Downside'!C117</f>
        <v>610.8569985157488</v>
      </c>
    </row>
    <row r="24">
      <c r="A24" t="inlineStr">
        <is>
          <t>Downside: month cash would run out</t>
        </is>
      </c>
      <c r="B24" s="2" t="inlineStr">
        <is>
          <t>month</t>
        </is>
      </c>
      <c r="C24" s="9" t="str">
        <f>'M-Downside'!C119</f>
        <v>May-28</v>
      </c>
    </row>
    <row r="26">
      <c r="A26" s="13" t="inlineStr">
        <is>
          <t>Use of funds: seed-period (FY27*-FY28) spend mix applied to the seed</t>
        </is>
      </c>
      <c r="B26" s="14" t="n"/>
      <c r="C26" s="14" t="n"/>
      <c r="D26" s="14" t="n"/>
      <c r="E26" s="14" t="n"/>
      <c r="F26" s="14" t="n"/>
      <c r="G26" s="14" t="n"/>
    </row>
    <row r="27">
      <c r="A27" s="3" t="inlineStr">
        <is>
          <t>Bucket</t>
        </is>
      </c>
      <c r="C27" s="3" t="inlineStr">
        <is>
          <t>Spend FY27*-28</t>
        </is>
      </c>
      <c r="D27" s="3" t="inlineStr">
        <is>
          <t>Share</t>
        </is>
      </c>
      <c r="E27" s="3" t="inlineStr">
        <is>
          <t>Of the seed</t>
        </is>
      </c>
    </row>
    <row r="28">
      <c r="A28" t="inlineStr">
        <is>
          <t>Product &amp; engineering (team, AI, devices)</t>
        </is>
      </c>
      <c r="C28" s="42">
        <f>'M-Base'!C84+'M-Base'!D84+'M-Base'!C81+'M-Base'!D81+'M-Base'!C103+'M-Base'!D103</f>
        <v>394.80513516895286</v>
      </c>
      <c r="D28" s="49">
        <f>C28/SUM($C$28:$C$31)</f>
        <v>0.3362965029722234</v>
      </c>
      <c r="E28" s="34">
        <f>D28*$C$14</f>
        <v>201.77790178333404</v>
      </c>
    </row>
    <row r="29">
      <c r="A29" t="inlineStr">
        <is>
          <t>Growth (acquisition + growth team)</t>
        </is>
      </c>
      <c r="C29" s="42">
        <f>'M-Base'!C80+'M-Base'!D80+'M-Base'!C85+'M-Base'!D85</f>
        <v>445.4360000000004</v>
      </c>
      <c r="D29" s="49">
        <f>C29/SUM($C$28:$C$31)</f>
        <v>0.3794240645675256</v>
      </c>
      <c r="E29" s="34">
        <f>D29*$C$14</f>
        <v>227.65443874051536</v>
      </c>
    </row>
    <row r="30">
      <c r="A30" t="inlineStr">
        <is>
          <t>Installer network, lead verification &amp; support</t>
        </is>
      </c>
      <c r="C30" s="42">
        <f>'M-Base'!C86+'M-Base'!D86+'M-Base'!C90+'M-Base'!D90+'M-Base'!C87+'M-Base'!D87+'M-Base'!C82+'M-Base'!D82</f>
        <v>118.74294582924819</v>
      </c>
      <c r="D30" s="49">
        <f>C30/SUM($C$28:$C$31)</f>
        <v>0.10114568904456492</v>
      </c>
      <c r="E30" s="34">
        <f>D30*$C$14</f>
        <v>60.68741342673895</v>
      </c>
    </row>
    <row r="31">
      <c r="A31" t="inlineStr">
        <is>
          <t>G&amp;A, compliance, office &amp; state sales</t>
        </is>
      </c>
      <c r="C31" s="42">
        <f>'M-Base'!C92+'M-Base'!D92+'M-Base'!C89+'M-Base'!D89+'M-Base'!C93+'M-Base'!D93+'M-Base'!C88+'M-Base'!D88</f>
        <v>214.995225</v>
      </c>
      <c r="D31" s="49">
        <f>C31/SUM($C$28:$C$31)</f>
        <v>0.18313374341568625</v>
      </c>
      <c r="E31" s="34">
        <f>D31*$C$14</f>
        <v>109.88024604941175</v>
      </c>
    </row>
    <row r="32">
      <c r="A32" s="3" t="inlineStr">
        <is>
          <t>Total</t>
        </is>
      </c>
      <c r="C32" s="35">
        <f>SUM(C28:C31)</f>
        <v>1173.9793059982012</v>
      </c>
      <c r="D32" s="50">
        <f>SUM(D28:D31)</f>
        <v>1.0000000000000002</v>
      </c>
      <c r="E32" s="35">
        <f>SUM(E28:E31)</f>
        <v>600.0000000000001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showGridLines="1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Scenarios side by side</t>
        </is>
      </c>
    </row>
    <row r="2">
      <c r="A2" s="2" t="inlineStr">
        <is>
          <t>Every figure links to its monthly engine. Same ₹6 crore seed in all three.</t>
        </is>
      </c>
    </row>
    <row r="4">
      <c r="A4" s="13" t="inlineStr">
        <is>
          <t>Base: Plan case.</t>
        </is>
      </c>
      <c r="B4" s="14" t="n"/>
      <c r="C4" s="14" t="n"/>
      <c r="D4" s="14" t="n"/>
      <c r="E4" s="14" t="n"/>
      <c r="F4" s="14" t="n"/>
      <c r="G4" s="14" t="n"/>
    </row>
    <row r="5">
      <c r="A5" s="11" t="inlineStr">
        <is>
          <t>₹ crore</t>
        </is>
      </c>
      <c r="B5" s="11" t="inlineStr">
        <is>
          <t>Unit / note</t>
        </is>
      </c>
      <c r="C5" s="12" t="inlineStr">
        <is>
          <t>FY27*</t>
        </is>
      </c>
      <c r="D5" s="12" t="inlineStr">
        <is>
          <t>FY28</t>
        </is>
      </c>
      <c r="E5" s="12" t="inlineStr">
        <is>
          <t>FY29</t>
        </is>
      </c>
      <c r="F5" s="12" t="inlineStr">
        <is>
          <t>FY30</t>
        </is>
      </c>
      <c r="G5" s="12" t="inlineStr">
        <is>
          <t>FY31</t>
        </is>
      </c>
    </row>
    <row r="6">
      <c r="A6" t="inlineStr">
        <is>
          <t>Revenue</t>
        </is>
      </c>
      <c r="C6" s="51">
        <f>'M-Base'!C79/100</f>
        <v>0.5933520760000001</v>
      </c>
      <c r="D6" s="51">
        <f>'M-Base'!D79/100</f>
        <v>7.835296533749388</v>
      </c>
      <c r="E6" s="51">
        <f>'M-Base'!E79/100</f>
        <v>24.132059215380693</v>
      </c>
      <c r="F6" s="51">
        <f>'M-Base'!F79/100</f>
        <v>49.34832459310643</v>
      </c>
      <c r="G6" s="51">
        <f>'M-Base'!G79/100</f>
        <v>79.75980850845262</v>
      </c>
    </row>
    <row r="7">
      <c r="A7" t="inlineStr">
        <is>
          <t>EBITDA</t>
        </is>
      </c>
      <c r="C7" s="51">
        <f>'M-Base'!C95/100</f>
        <v>-0.82285348628</v>
      </c>
      <c r="D7" s="51">
        <f>'M-Base'!D95/100</f>
        <v>-2.1317113622630974</v>
      </c>
      <c r="E7" s="51">
        <f>'M-Base'!E95/100</f>
        <v>2.6413267439192647</v>
      </c>
      <c r="F7" s="51">
        <f>'M-Base'!F95/100</f>
        <v>13.580780889675754</v>
      </c>
      <c r="G7" s="51">
        <f>'M-Base'!G95/100</f>
        <v>27.998723626021302</v>
      </c>
    </row>
    <row r="8">
      <c r="A8" t="inlineStr">
        <is>
          <t>EBITDA margin</t>
        </is>
      </c>
      <c r="C8" s="52">
        <f>'M-Base'!C110</f>
        <v>-1.3867879115333202</v>
      </c>
      <c r="D8" s="52">
        <f>'M-Base'!D110</f>
        <v>-0.2720651800580953</v>
      </c>
      <c r="E8" s="52">
        <f>'M-Base'!E110</f>
        <v>0.1094530193360292</v>
      </c>
      <c r="F8" s="52">
        <f>'M-Base'!F110</f>
        <v>0.27520247144465126</v>
      </c>
      <c r="G8" s="52">
        <f>'M-Base'!G110</f>
        <v>0.3510379995841403</v>
      </c>
    </row>
    <row r="9">
      <c r="A9" t="inlineStr">
        <is>
          <t>Year-end cash</t>
        </is>
      </c>
      <c r="C9" s="51">
        <f>'M-Base'!C106/100</f>
        <v>5.198730662199999</v>
      </c>
      <c r="D9" s="51">
        <f>'M-Base'!D106/100</f>
        <v>2.3192668178914597</v>
      </c>
      <c r="E9" s="51">
        <f>'M-Base'!E106/100</f>
        <v>3.6637780594083615</v>
      </c>
      <c r="F9" s="51">
        <f>'M-Base'!F106/100</f>
        <v>12.003637794530595</v>
      </c>
      <c r="G9" s="51">
        <f>'M-Base'!G106/100</f>
        <v>30.76970488263116</v>
      </c>
    </row>
    <row r="10">
      <c r="A10" t="inlineStr">
        <is>
          <t>Installed homes</t>
        </is>
      </c>
      <c r="C10" s="41">
        <f>'M-Base'!C73</f>
        <v>268.8</v>
      </c>
      <c r="D10" s="41">
        <f>'M-Base'!D73</f>
        <v>4905.093241229742</v>
      </c>
      <c r="E10" s="41">
        <f>'M-Base'!E73</f>
        <v>16673.52266909019</v>
      </c>
      <c r="F10" s="41">
        <f>'M-Base'!F73</f>
        <v>35727.039958069996</v>
      </c>
      <c r="G10" s="41">
        <f>'M-Base'!G73</f>
        <v>60506.657446399426</v>
      </c>
    </row>
    <row r="11">
      <c r="A11" t="inlineStr">
        <is>
          <t>Average heads</t>
        </is>
      </c>
      <c r="C11" s="41">
        <f>'M-Base'!C108</f>
        <v>12.066666666666666</v>
      </c>
      <c r="D11" s="41">
        <f>'M-Base'!D108</f>
        <v>31.444444444444446</v>
      </c>
      <c r="E11" s="41">
        <f>'M-Base'!E108</f>
        <v>59.333333333333336</v>
      </c>
      <c r="F11" s="41">
        <f>'M-Base'!F108</f>
        <v>90.77777777777776</v>
      </c>
      <c r="G11" s="41">
        <f>'M-Base'!G108</f>
        <v>124.44444444444439</v>
      </c>
    </row>
    <row r="12">
      <c r="A12" s="3" t="inlineStr">
        <is>
          <t>Break-even month</t>
        </is>
      </c>
      <c r="C12" s="6" t="str">
        <f>'M-Base'!C114</f>
        <v>Apr-28</v>
      </c>
    </row>
    <row r="13">
      <c r="A13" s="3" t="inlineStr">
        <is>
          <t>Lowest cash (₹ crore)</t>
        </is>
      </c>
      <c r="C13" s="5">
        <f>'M-Base'!C115/100</f>
        <v>1.9431241764030447</v>
      </c>
    </row>
    <row r="14">
      <c r="A14" s="3" t="inlineStr">
        <is>
          <t>Month of the low point</t>
        </is>
      </c>
      <c r="C14" s="6" t="str">
        <f>'M-Base'!C116</f>
        <v>May-28</v>
      </c>
    </row>
    <row r="15">
      <c r="A15" s="3" t="inlineStr">
        <is>
          <t>Extra funding needed (₹ crore)</t>
        </is>
      </c>
      <c r="C15" s="5">
        <f>'M-Base'!C117/100</f>
        <v>0.0</v>
      </c>
    </row>
    <row r="17">
      <c r="A17" s="13" t="inlineStr">
        <is>
          <t>Downside: 30% less traffic, ~25% less revenue per report (7% leads, 17% installs, ₹1,300 fee), CAC +10%, SaaS -40%, fewer states. Management response: non-caller hiring held at 80% of plan from FY28.</t>
        </is>
      </c>
      <c r="B17" s="14" t="n"/>
      <c r="C17" s="14" t="n"/>
      <c r="D17" s="14" t="n"/>
      <c r="E17" s="14" t="n"/>
      <c r="F17" s="14" t="n"/>
      <c r="G17" s="14" t="n"/>
    </row>
    <row r="18">
      <c r="A18" s="11" t="inlineStr">
        <is>
          <t>₹ crore</t>
        </is>
      </c>
      <c r="B18" s="11" t="inlineStr">
        <is>
          <t>Unit / note</t>
        </is>
      </c>
      <c r="C18" s="12" t="inlineStr">
        <is>
          <t>FY27*</t>
        </is>
      </c>
      <c r="D18" s="12" t="inlineStr">
        <is>
          <t>FY28</t>
        </is>
      </c>
      <c r="E18" s="12" t="inlineStr">
        <is>
          <t>FY29</t>
        </is>
      </c>
      <c r="F18" s="12" t="inlineStr">
        <is>
          <t>FY30</t>
        </is>
      </c>
      <c r="G18" s="12" t="inlineStr">
        <is>
          <t>FY31</t>
        </is>
      </c>
    </row>
    <row r="19">
      <c r="A19" t="inlineStr">
        <is>
          <t>Revenue</t>
        </is>
      </c>
      <c r="C19" s="51">
        <f>'M-Downside'!C79/100</f>
        <v>0.31654449488</v>
      </c>
      <c r="D19" s="51">
        <f>'M-Downside'!D79/100</f>
        <v>4.003247682883275</v>
      </c>
      <c r="E19" s="51">
        <f>'M-Downside'!E79/100</f>
        <v>13.135742604007572</v>
      </c>
      <c r="F19" s="51">
        <f>'M-Downside'!F79/100</f>
        <v>26.790456591286038</v>
      </c>
      <c r="G19" s="51">
        <f>'M-Downside'!G79/100</f>
        <v>43.02208717971315</v>
      </c>
    </row>
    <row r="20">
      <c r="A20" t="inlineStr">
        <is>
          <t>EBITDA</t>
        </is>
      </c>
      <c r="C20" s="51">
        <f>'M-Downside'!C95/100</f>
        <v>-0.9872844024663999</v>
      </c>
      <c r="D20" s="51">
        <f>'M-Downside'!D95/100</f>
        <v>-3.860574960103227</v>
      </c>
      <c r="E20" s="51">
        <f>'M-Downside'!E95/100</f>
        <v>-3.6733600863626577</v>
      </c>
      <c r="F20" s="51">
        <f>'M-Downside'!F95/100</f>
        <v>-0.9677866512281572</v>
      </c>
      <c r="G20" s="51">
        <f>'M-Downside'!G95/100</f>
        <v>3.0522093860983137</v>
      </c>
    </row>
    <row r="21">
      <c r="A21" t="inlineStr">
        <is>
          <t>EBITDA margin</t>
        </is>
      </c>
      <c r="C21" s="52">
        <f>'M-Downside'!C110</f>
        <v>-3.1189435243240387</v>
      </c>
      <c r="D21" s="52">
        <f>'M-Downside'!D110</f>
        <v>-0.9643607555460344</v>
      </c>
      <c r="E21" s="52">
        <f>'M-Downside'!E110</f>
        <v>-0.2796461682525627</v>
      </c>
      <c r="F21" s="52">
        <f>'M-Downside'!F110</f>
        <v>-0.03612430597927708</v>
      </c>
      <c r="G21" s="52">
        <f>'M-Downside'!G110</f>
        <v>0.07094517226345931</v>
      </c>
    </row>
    <row r="22">
      <c r="A22" t="inlineStr">
        <is>
          <t>Year-end cash</t>
        </is>
      </c>
      <c r="C22" s="51">
        <f>'M-Downside'!C106/100</f>
        <v>5.070002544836</v>
      </c>
      <c r="D22" s="51">
        <f>'M-Downside'!D106/100</f>
        <v>0.862369164529307</v>
      </c>
      <c r="E22" s="51">
        <f>'M-Downside'!E106/100</f>
        <v>-3.683543832767865</v>
      </c>
      <c r="F22" s="51">
        <f>'M-Downside'!F106/100</f>
        <v>-5.880899678030134</v>
      </c>
      <c r="G22" s="51">
        <f>'M-Downside'!G106/100</f>
        <v>-4.091326923358831</v>
      </c>
    </row>
    <row r="23">
      <c r="A23" t="inlineStr">
        <is>
          <t>Installed homes</t>
        </is>
      </c>
      <c r="C23" s="41">
        <f>'M-Downside'!C73</f>
        <v>139.94400000000002</v>
      </c>
      <c r="D23" s="41">
        <f>'M-Downside'!D73</f>
        <v>2553.7141687152343</v>
      </c>
      <c r="E23" s="41">
        <f>'M-Downside'!E73</f>
        <v>8680.65273959508</v>
      </c>
      <c r="F23" s="41">
        <f>'M-Downside'!F73</f>
        <v>18600.390178170193</v>
      </c>
      <c r="G23" s="41">
        <f>'M-Downside'!G73</f>
        <v>31501.2785330317</v>
      </c>
    </row>
    <row r="24">
      <c r="A24" t="inlineStr">
        <is>
          <t>Average heads</t>
        </is>
      </c>
      <c r="C24" s="41">
        <f>'M-Downside'!C108</f>
        <v>11.653333333333334</v>
      </c>
      <c r="D24" s="41">
        <f>'M-Downside'!D108</f>
        <v>24.322222222222223</v>
      </c>
      <c r="E24" s="41">
        <f>'M-Downside'!E108</f>
        <v>44.96666666666667</v>
      </c>
      <c r="F24" s="41">
        <f>'M-Downside'!F108</f>
        <v>67.41388888888888</v>
      </c>
      <c r="G24" s="41">
        <f>'M-Downside'!G108</f>
        <v>91.22222222222219</v>
      </c>
    </row>
    <row r="25">
      <c r="A25" s="3" t="inlineStr">
        <is>
          <t>Break-even month</t>
        </is>
      </c>
      <c r="C25" s="6" t="str">
        <f>'M-Downside'!C114</f>
        <v>Jan-30</v>
      </c>
    </row>
    <row r="26">
      <c r="A26" s="3" t="inlineStr">
        <is>
          <t>Lowest cash (₹ crore)</t>
        </is>
      </c>
      <c r="C26" s="5">
        <f>'M-Downside'!C115/100</f>
        <v>-6.108569985157488</v>
      </c>
    </row>
    <row r="27">
      <c r="A27" s="3" t="inlineStr">
        <is>
          <t>Month of the low point</t>
        </is>
      </c>
      <c r="C27" s="6" t="str">
        <f>'M-Downside'!C116</f>
        <v>Apr-30</v>
      </c>
    </row>
    <row r="28">
      <c r="A28" s="3" t="inlineStr">
        <is>
          <t>Extra funding needed (₹ crore)</t>
        </is>
      </c>
      <c r="C28" s="5">
        <f>'M-Downside'!C117/100</f>
        <v>6.108569985157488</v>
      </c>
    </row>
    <row r="30">
      <c r="A30" s="13" t="inlineStr">
        <is>
          <t>Upside: 20% more traffic, ~25% more revenue per report (9% leads, 22% installs, ₹1,650 fee), CAC -10%, SaaS +20%. Hiring runs 15% above plan from FY28 to serve the volume.</t>
        </is>
      </c>
      <c r="B30" s="14" t="n"/>
      <c r="C30" s="14" t="n"/>
      <c r="D30" s="14" t="n"/>
      <c r="E30" s="14" t="n"/>
      <c r="F30" s="14" t="n"/>
      <c r="G30" s="14" t="n"/>
    </row>
    <row r="31">
      <c r="A31" s="11" t="inlineStr">
        <is>
          <t>₹ crore</t>
        </is>
      </c>
      <c r="B31" s="11" t="inlineStr">
        <is>
          <t>Unit / note</t>
        </is>
      </c>
      <c r="C31" s="12" t="inlineStr">
        <is>
          <t>FY27*</t>
        </is>
      </c>
      <c r="D31" s="12" t="inlineStr">
        <is>
          <t>FY28</t>
        </is>
      </c>
      <c r="E31" s="12" t="inlineStr">
        <is>
          <t>FY29</t>
        </is>
      </c>
      <c r="F31" s="12" t="inlineStr">
        <is>
          <t>FY30</t>
        </is>
      </c>
      <c r="G31" s="12" t="inlineStr">
        <is>
          <t>FY31</t>
        </is>
      </c>
    </row>
    <row r="32">
      <c r="A32" t="inlineStr">
        <is>
          <t>Revenue</t>
        </is>
      </c>
      <c r="C32" s="51">
        <f>'M-Upside'!C79/100</f>
        <v>0.87044389536</v>
      </c>
      <c r="D32" s="51">
        <f>'M-Upside'!D79/100</f>
        <v>11.13371795261784</v>
      </c>
      <c r="E32" s="51">
        <f>'M-Upside'!E79/100</f>
        <v>34.73101573484031</v>
      </c>
      <c r="F32" s="51">
        <f>'M-Upside'!F79/100</f>
        <v>70.87720922076305</v>
      </c>
      <c r="G32" s="51">
        <f>'M-Upside'!G79/100</f>
        <v>114.73917063505212</v>
      </c>
    </row>
    <row r="33">
      <c r="A33" t="inlineStr">
        <is>
          <t>EBITDA</t>
        </is>
      </c>
      <c r="C33" s="51">
        <f>'M-Upside'!C95/100</f>
        <v>-0.5955985465008</v>
      </c>
      <c r="D33" s="51">
        <f>'M-Upside'!D95/100</f>
        <v>-0.11759774221069819</v>
      </c>
      <c r="E33" s="51">
        <f>'M-Upside'!E95/100</f>
        <v>10.462134084795103</v>
      </c>
      <c r="F33" s="51">
        <f>'M-Upside'!F95/100</f>
        <v>30.400955258344553</v>
      </c>
      <c r="G33" s="51">
        <f>'M-Upside'!G95/100</f>
        <v>56.01428395382617</v>
      </c>
    </row>
    <row r="34">
      <c r="A34" t="inlineStr">
        <is>
          <t>EBITDA margin</t>
        </is>
      </c>
      <c r="C34" s="52">
        <f>'M-Upside'!C110</f>
        <v>-0.6842469108873136</v>
      </c>
      <c r="D34" s="52">
        <f>'M-Upside'!D110</f>
        <v>-0.01056230656382379</v>
      </c>
      <c r="E34" s="52">
        <f>'M-Upside'!E110</f>
        <v>0.30123317338801714</v>
      </c>
      <c r="F34" s="52">
        <f>'M-Upside'!F110</f>
        <v>0.4289242704753502</v>
      </c>
      <c r="G34" s="52">
        <f>'M-Upside'!G110</f>
        <v>0.4881879801274609</v>
      </c>
    </row>
    <row r="35">
      <c r="A35" t="inlineStr">
        <is>
          <t>Year-end cash</t>
        </is>
      </c>
      <c r="C35" s="51">
        <f>'M-Upside'!C106/100</f>
        <v>5.390415513992</v>
      </c>
      <c r="D35" s="51">
        <f>'M-Upside'!D106/100</f>
        <v>4.280478648838572</v>
      </c>
      <c r="E35" s="51">
        <f>'M-Upside'!E106/100</f>
        <v>10.513300281266877</v>
      </c>
      <c r="F35" s="51">
        <f>'M-Upside'!F106/100</f>
        <v>30.64908064999884</v>
      </c>
      <c r="G35" s="51">
        <f>'M-Upside'!G106/100</f>
        <v>69.54682714368403</v>
      </c>
    </row>
    <row r="36">
      <c r="A36" t="inlineStr">
        <is>
          <t>Installed homes</t>
        </is>
      </c>
      <c r="C36" s="41">
        <f>'M-Upside'!C73</f>
        <v>399.168</v>
      </c>
      <c r="D36" s="41">
        <f>'M-Upside'!D73</f>
        <v>7284.0634632261645</v>
      </c>
      <c r="E36" s="41">
        <f>'M-Upside'!E73</f>
        <v>24760.18116359893</v>
      </c>
      <c r="F36" s="41">
        <f>'M-Upside'!F73</f>
        <v>53054.65433773395</v>
      </c>
      <c r="G36" s="41">
        <f>'M-Upside'!G73</f>
        <v>89852.38630790314</v>
      </c>
    </row>
    <row r="37">
      <c r="A37" t="inlineStr">
        <is>
          <t>Average heads</t>
        </is>
      </c>
      <c r="C37" s="41">
        <f>'M-Upside'!C108</f>
        <v>12.440000000000001</v>
      </c>
      <c r="D37" s="41">
        <f>'M-Upside'!D108</f>
        <v>37.050000000000004</v>
      </c>
      <c r="E37" s="41">
        <f>'M-Upside'!E108</f>
        <v>70.89999999999999</v>
      </c>
      <c r="F37" s="41">
        <f>'M-Upside'!F108</f>
        <v>109.94999999999995</v>
      </c>
      <c r="G37" s="41">
        <f>'M-Upside'!G108</f>
        <v>151.99999999999991</v>
      </c>
    </row>
    <row r="38">
      <c r="A38" s="3" t="inlineStr">
        <is>
          <t>Break-even month</t>
        </is>
      </c>
      <c r="C38" s="6" t="str">
        <f>'M-Upside'!C114</f>
        <v>Nov-27</v>
      </c>
    </row>
    <row r="39">
      <c r="A39" s="3" t="inlineStr">
        <is>
          <t>Lowest cash (₹ crore)</t>
        </is>
      </c>
      <c r="C39" s="5">
        <f>'M-Upside'!C115/100</f>
        <v>4.013211425060975</v>
      </c>
    </row>
    <row r="40">
      <c r="A40" s="3" t="inlineStr">
        <is>
          <t>Month of the low point</t>
        </is>
      </c>
      <c r="C40" s="6" t="str">
        <f>'M-Upside'!C116</f>
        <v>Dec-27</v>
      </c>
    </row>
    <row r="41">
      <c r="A41" s="3" t="inlineStr">
        <is>
          <t>Extra funding needed (₹ crore)</t>
        </is>
      </c>
      <c r="C41" s="5">
        <f>'M-Upside'!C117/100</f>
        <v>0.0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1"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10" customWidth="1" min="3" max="3"/>
    <col width="90" customWidth="1" min="4" max="4"/>
  </cols>
  <sheetData>
    <row r="1">
      <c r="A1" s="1" t="inlineStr">
        <is>
          <t>Unit economics: FY28, Base case</t>
        </is>
      </c>
    </row>
    <row r="3">
      <c r="A3" s="11" t="inlineStr">
        <is>
          <t>Metric</t>
        </is>
      </c>
      <c r="B3" s="11" t="inlineStr">
        <is>
          <t>Value</t>
        </is>
      </c>
      <c r="C3" s="11" t="inlineStr">
        <is>
          <t>Unit</t>
        </is>
      </c>
      <c r="D3" s="11" t="inlineStr">
        <is>
          <t>How</t>
        </is>
      </c>
    </row>
    <row r="4">
      <c r="A4" t="inlineStr">
        <is>
          <t>Reports, FY28</t>
        </is>
      </c>
      <c r="B4" s="41">
        <f>'M-Base'!D71</f>
        <v>400000.0000000004</v>
      </c>
      <c r="C4" s="2" t="inlineStr">
        <is>
          <t>count</t>
        </is>
      </c>
      <c r="D4" s="16" t="inlineStr">
        <is>
          <t>M-Base annual block</t>
        </is>
      </c>
    </row>
    <row r="5">
      <c r="A5" t="inlineStr">
        <is>
          <t>Revenue per report</t>
        </is>
      </c>
      <c r="B5" s="42">
        <f>'M-Base'!D79*100000/B4</f>
        <v>195.8824133437345</v>
      </c>
      <c r="C5" s="2" t="inlineStr">
        <is>
          <t>₹</t>
        </is>
      </c>
      <c r="D5" s="16" t="inlineStr">
        <is>
          <t>All five streams ÷ reports</t>
        </is>
      </c>
    </row>
    <row r="6">
      <c r="A6" t="inlineStr">
        <is>
          <t>Acquisition per report</t>
        </is>
      </c>
      <c r="B6" s="42">
        <f>Assumptions!$D$13</f>
        <v>85.0</v>
      </c>
      <c r="C6" s="2" t="inlineStr">
        <is>
          <t>₹</t>
        </is>
      </c>
      <c r="D6" s="16" t="inlineStr">
        <is>
          <t>Assumptions</t>
        </is>
      </c>
    </row>
    <row r="7">
      <c r="A7" t="inlineStr">
        <is>
          <t>AI + infrastructure per report</t>
        </is>
      </c>
      <c r="B7" s="25">
        <f>Assumptions!$D$70</f>
        <v>1.7324031249999998</v>
      </c>
      <c r="C7" s="2" t="inlineStr">
        <is>
          <t>₹</t>
        </is>
      </c>
      <c r="D7" s="16" t="inlineStr">
        <is>
          <t>AI cost sheet</t>
        </is>
      </c>
    </row>
    <row r="8">
      <c r="A8" t="inlineStr">
        <is>
          <t>Lead verification per report</t>
        </is>
      </c>
      <c r="B8" s="42">
        <f>'M-Base'!D90*100000/B4</f>
        <v>3.815000000000001</v>
      </c>
      <c r="C8" s="2" t="inlineStr">
        <is>
          <t>₹</t>
        </is>
      </c>
      <c r="D8" s="16" t="inlineStr">
        <is>
          <t>Caller payroll ÷ reports</t>
        </is>
      </c>
    </row>
    <row r="9">
      <c r="A9" t="inlineStr">
        <is>
          <t>Payments + partner ops per report</t>
        </is>
      </c>
      <c r="B9" s="42">
        <f>B5*Assumptions!$C$73</f>
        <v>5.876472400312035</v>
      </c>
      <c r="C9" s="2" t="inlineStr">
        <is>
          <t>₹</t>
        </is>
      </c>
      <c r="D9" s="16" t="inlineStr">
        <is>
          <t>3% of revenue</t>
        </is>
      </c>
    </row>
    <row r="10">
      <c r="A10" t="inlineStr">
        <is>
          <t>Variable cost per report</t>
        </is>
      </c>
      <c r="B10" s="34">
        <f>SUM(B6:B9)</f>
        <v>96.42387552531204</v>
      </c>
      <c r="C10" s="2" t="inlineStr">
        <is>
          <t>₹</t>
        </is>
      </c>
    </row>
    <row r="11">
      <c r="A11" t="inlineStr">
        <is>
          <t>Contribution per report</t>
        </is>
      </c>
      <c r="B11" s="35">
        <f>B5-B10</f>
        <v>99.45853781842246</v>
      </c>
      <c r="C11" s="2" t="inlineStr">
        <is>
          <t>₹</t>
        </is>
      </c>
    </row>
    <row r="12">
      <c r="A12" t="inlineStr">
        <is>
          <t>Revenue ÷ variable cost</t>
        </is>
      </c>
      <c r="B12" s="53">
        <f>IF(B10=0,0,B5/B10)</f>
        <v>2.0314721045651583</v>
      </c>
      <c r="C12" s="2" t="inlineStr">
        <is>
          <t>x</t>
        </is>
      </c>
    </row>
    <row r="14">
      <c r="A14" t="inlineStr">
        <is>
          <t>Reports per installed home</t>
        </is>
      </c>
      <c r="B14" s="42">
        <f>1/(Assumptions!$D$10*Assumptions!$D$11)</f>
        <v>62.5</v>
      </c>
      <c r="C14" s="2" t="inlineStr">
        <is>
          <t>count</t>
        </is>
      </c>
      <c r="D14" s="16" t="inlineStr">
        <is>
          <t>1 ÷ (8% × 20%)</t>
        </is>
      </c>
    </row>
    <row r="15">
      <c r="A15" t="inlineStr">
        <is>
          <t>System value (3.2 kW)</t>
        </is>
      </c>
      <c r="B15" s="41">
        <f>Assumptions!$C$39*Assumptions!$D$40</f>
        <v>182400.0</v>
      </c>
      <c r="C15" s="2" t="inlineStr">
        <is>
          <t>₹</t>
        </is>
      </c>
    </row>
    <row r="16">
      <c r="A16" t="inlineStr">
        <is>
          <t>Lead fees per installed home</t>
        </is>
      </c>
      <c r="B16" s="41">
        <f>Assumptions!$D$12*(1-Assumptions!$C$43)/Assumptions!$D$11</f>
        <v>7125.0</v>
      </c>
      <c r="C16" s="2" t="inlineStr">
        <is>
          <t>₹</t>
        </is>
      </c>
      <c r="D16" s="16" t="inlineStr">
        <is>
          <t>5 leads per install, net of credits</t>
        </is>
      </c>
    </row>
    <row r="17">
      <c r="A17" t="inlineStr">
        <is>
          <t>Success fee per installed home (collected)</t>
        </is>
      </c>
      <c r="B17" s="41">
        <f>B15*Assumptions!$C$41*Assumptions!$C$42</f>
        <v>3100.7999999999997</v>
      </c>
      <c r="C17" s="2" t="inlineStr">
        <is>
          <t>₹</t>
        </is>
      </c>
    </row>
    <row r="18">
      <c r="A18" t="inlineStr">
        <is>
          <t>Loan fee per installed home (average)</t>
        </is>
      </c>
      <c r="B18" s="41">
        <f>Assumptions!$C$44*Assumptions!$C$45*Assumptions!$C$46</f>
        <v>560.0</v>
      </c>
      <c r="C18" s="2" t="inlineStr">
        <is>
          <t>₹</t>
        </is>
      </c>
    </row>
    <row r="19">
      <c r="A19" t="inlineStr">
        <is>
          <t>Marketplace revenue per installed home</t>
        </is>
      </c>
      <c r="B19" s="39">
        <f>SUM(B16:B18)</f>
        <v>10785.8</v>
      </c>
      <c r="C19" s="2" t="inlineStr">
        <is>
          <t>₹</t>
        </is>
      </c>
      <c r="D19" s="16" t="inlineStr">
        <is>
          <t>Steady state, FY28 prices</t>
        </is>
      </c>
    </row>
    <row r="20">
      <c r="A20" t="inlineStr">
        <is>
          <t>Variable cost per installed home</t>
        </is>
      </c>
      <c r="B20" s="41">
        <f>B14*(B6+B7)+B14*B8+B19*Assumptions!$C$73</f>
        <v>5982.7866953125</v>
      </c>
      <c r="C20" s="2" t="inlineStr">
        <is>
          <t>₹</t>
        </is>
      </c>
      <c r="D20" s="16" t="inlineStr">
        <is>
          <t>Acquisition, AI and verification for 62.5 reports, plus payments</t>
        </is>
      </c>
    </row>
    <row r="21">
      <c r="A21" t="inlineStr">
        <is>
          <t>Contribution per installed home</t>
        </is>
      </c>
      <c r="B21" s="39">
        <f>B19-B20</f>
        <v>4803.013304687499</v>
      </c>
      <c r="C21" s="2" t="inlineStr">
        <is>
          <t>₹</t>
        </is>
      </c>
    </row>
    <row r="22">
      <c r="A22" t="inlineStr">
        <is>
          <t>Contribution margin</t>
        </is>
      </c>
      <c r="B22" s="38">
        <f>IF(B19=0,0,B21/B19)</f>
        <v>0.4453089529462348</v>
      </c>
      <c r="C22" s="2" t="inlineStr">
        <is>
          <t>%</t>
        </is>
      </c>
    </row>
    <row r="24">
      <c r="A24" t="inlineStr">
        <is>
          <t>Installer's cost per closed sale</t>
        </is>
      </c>
      <c r="B24" s="41">
        <f>B16+B15*Assumptions!$C$41</f>
        <v>10773.0</v>
      </c>
      <c r="C24" s="2" t="inlineStr">
        <is>
          <t>₹</t>
        </is>
      </c>
      <c r="D24" s="16" t="inlineStr">
        <is>
          <t>Lead fees + full success fee</t>
        </is>
      </c>
    </row>
    <row r="25">
      <c r="A25" t="inlineStr">
        <is>
          <t>…as a share of system value</t>
        </is>
      </c>
      <c r="B25" s="38">
        <f>B24/B15</f>
        <v>0.0590625</v>
      </c>
      <c r="C25" s="2" t="inlineStr">
        <is>
          <t>%</t>
        </is>
      </c>
      <c r="D25" s="16" t="inlineStr">
        <is>
          <t>US installers aim for cost per closed sale under $1,500, roughly 5-7% of a home system</t>
        </is>
      </c>
    </row>
    <row r="26">
      <c r="A26" t="inlineStr">
        <is>
          <t>AI + infrastructure as share of revenue, FY28</t>
        </is>
      </c>
      <c r="B26" s="54">
        <f>'M-Base'!D81/'M-Base'!D79</f>
        <v>0.008844097310359242</v>
      </c>
      <c r="C26" s="2" t="inlineStr">
        <is>
          <t>%</t>
        </is>
      </c>
    </row>
    <row r="27">
      <c r="A27" t="inlineStr">
        <is>
          <t>Homeowner's saving, 3 kW in Delhi, year 1</t>
        </is>
      </c>
      <c r="B27" s="15" t="n">
        <v>28869</v>
      </c>
      <c r="C27" s="2" t="inlineStr">
        <is>
          <t>₹</t>
        </is>
      </c>
      <c r="D27" s="16" t="inlineStr">
        <is>
          <t>Chhat Roof Report output (NASA POWER, DISCOM tariff)</t>
        </is>
      </c>
    </row>
    <row r="28">
      <c r="A28" t="inlineStr">
        <is>
          <t>Chhat's take as share of 25 years of that saving</t>
        </is>
      </c>
      <c r="B28" s="38">
        <f>B19/(B27*25)</f>
        <v>0.014944473310471438</v>
      </c>
      <c r="C28" s="2" t="inlineStr">
        <is>
          <t>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7"/>
  <sheetViews>
    <sheetView showGridLines="1" workbookViewId="0">
      <selection activeCell="A1" sqref="A1"/>
    </sheetView>
  </sheetViews>
  <sheetFormatPr baseColWidth="8" defaultRowHeight="15"/>
  <cols>
    <col width="64" customWidth="1" min="1" max="1"/>
    <col width="16" customWidth="1" min="2" max="2"/>
    <col width="18" customWidth="1" min="3" max="3"/>
    <col width="90" customWidth="1" min="4" max="4"/>
  </cols>
  <sheetData>
    <row r="1">
      <c r="A1" s="1" t="inlineStr">
        <is>
          <t>Market sizing</t>
        </is>
      </c>
    </row>
    <row r="2">
      <c r="A2" s="2" t="inlineStr">
        <is>
          <t>TAM is a stock (every economic roof, once). SAM and SOM are annual, so FY31 revenue is compared with an annual pool.</t>
        </is>
      </c>
    </row>
    <row r="4">
      <c r="A4" s="4" t="inlineStr">
        <is>
          <t>Economic residential rooftop potential, with subsidy</t>
        </is>
      </c>
      <c r="B4" s="15" t="n">
        <v>32</v>
      </c>
      <c r="C4" s="2" t="inlineStr">
        <is>
          <t>GW</t>
        </is>
      </c>
      <c r="D4" s="16" t="inlineStr">
        <is>
          <t>CEEW 2023: 637 GW technical, 32 GW economic with subsidy</t>
        </is>
      </c>
    </row>
    <row r="5">
      <c r="A5" s="4" t="inlineStr">
        <is>
          <t>Homes in that potential at 3.2 kW</t>
        </is>
      </c>
      <c r="B5" s="34">
        <f>B4*1000000/Assumptions!$C$39/100000</f>
        <v>100.0</v>
      </c>
      <c r="C5" s="2" t="inlineStr">
        <is>
          <t>lakh homes</t>
        </is>
      </c>
    </row>
    <row r="6">
      <c r="A6" s="4" t="inlineStr">
        <is>
          <t>Average system value (FY28 prices)</t>
        </is>
      </c>
      <c r="B6" s="41">
        <f>'Unit economics'!B15</f>
        <v>182400.0</v>
      </c>
      <c r="C6" s="2" t="inlineStr">
        <is>
          <t>₹</t>
        </is>
      </c>
    </row>
    <row r="7">
      <c r="A7" s="3" t="inlineStr">
        <is>
          <t>TAM: installation value of the economic potential</t>
        </is>
      </c>
      <c r="B7" s="39">
        <f>B5*100000*B6/10000000</f>
        <v>182400.0</v>
      </c>
      <c r="C7" s="2" t="inlineStr">
        <is>
          <t>₹ crore</t>
        </is>
      </c>
      <c r="D7" s="16" t="inlineStr">
        <is>
          <t>Stock, not per year</t>
        </is>
      </c>
    </row>
    <row r="9">
      <c r="A9" s="4" t="inlineStr">
        <is>
          <t>PM Surya Ghar households benefited, 9 Oct 2026</t>
        </is>
      </c>
      <c r="B9" s="15" t="n">
        <v>6136209</v>
      </c>
      <c r="C9" s="2" t="inlineStr">
        <is>
          <t>homes</t>
        </is>
      </c>
      <c r="D9" s="16" t="inlineStr">
        <is>
          <t>National portal counter, quoted by Blues Renewables (10 Oct 2026)</t>
        </is>
      </c>
    </row>
    <row r="10">
      <c r="A10" s="4" t="inlineStr">
        <is>
          <t>PM Surya Ghar rooftop installations, 9 Oct 2026</t>
        </is>
      </c>
      <c r="B10" s="15" t="n">
        <v>5172635</v>
      </c>
      <c r="C10" s="2" t="inlineStr">
        <is>
          <t>systems</t>
        </is>
      </c>
      <c r="D10" s="16" t="inlineStr">
        <is>
          <t>Same counter; one system can serve several homes (RWA)</t>
        </is>
      </c>
    </row>
    <row r="11">
      <c r="A11" s="4" t="inlineStr">
        <is>
          <t>Scheme target</t>
        </is>
      </c>
      <c r="B11" s="15" t="n">
        <v>10000000</v>
      </c>
      <c r="C11" s="2" t="inlineStr">
        <is>
          <t>homes</t>
        </is>
      </c>
      <c r="D11" s="16" t="inlineStr">
        <is>
          <t>1 crore households by 31 Mar 2027 (MNRE guidelines)</t>
        </is>
      </c>
    </row>
    <row r="12">
      <c r="A12" s="4" t="inlineStr">
        <is>
          <t>Homes still to reach the target</t>
        </is>
      </c>
      <c r="B12" s="32">
        <f>B11-B9</f>
        <v>3863791.0</v>
      </c>
      <c r="C12" s="2" t="inlineStr">
        <is>
          <t>homes</t>
        </is>
      </c>
      <c r="D12" s="16" t="inlineStr">
        <is>
          <t>≈ 39 lakh in under 6 months</t>
        </is>
      </c>
    </row>
    <row r="13">
      <c r="A13" s="4" t="inlineStr">
        <is>
          <t>Record month: July 2026 additions</t>
        </is>
      </c>
      <c r="B13" s="15" t="n">
        <v>506000</v>
      </c>
      <c r="C13" s="2" t="inlineStr">
        <is>
          <t>homes</t>
        </is>
      </c>
      <c r="D13" s="16" t="inlineStr">
        <is>
          <t>SolarQuarter, 7 Aug 2026 (16,328 a day)</t>
        </is>
      </c>
    </row>
    <row r="14">
      <c r="A14" s="4" t="inlineStr">
        <is>
          <t>Peak annual pace</t>
        </is>
      </c>
      <c r="B14" s="34">
        <f>B13*12/100000</f>
        <v>60.72</v>
      </c>
      <c r="C14" s="2" t="inlineStr">
        <is>
          <t>lakh homes / year</t>
        </is>
      </c>
      <c r="D14" s="16" t="inlineStr">
        <is>
          <t>Subsidy-driven; not assumed to last</t>
        </is>
      </c>
    </row>
    <row r="16">
      <c r="A16" s="4" t="inlineStr">
        <is>
          <t>Planning base: national home installs a year, FY28-FY31</t>
        </is>
      </c>
      <c r="B16" s="19" t="n">
        <v>20</v>
      </c>
      <c r="C16" s="2" t="inlineStr">
        <is>
          <t>lakh homes / year</t>
        </is>
      </c>
      <c r="D16" s="16" t="inlineStr">
        <is>
          <t>Assumption: one-third of the 2026 peak (lighter successor scheme or none)</t>
        </is>
      </c>
    </row>
    <row r="17">
      <c r="A17" s="4" t="inlineStr">
        <is>
          <t>Annual installation value at that pace</t>
        </is>
      </c>
      <c r="B17" s="32">
        <f>B16*100000*B6/10000000</f>
        <v>36480.0</v>
      </c>
      <c r="C17" s="2" t="inlineStr">
        <is>
          <t>₹ crore / year</t>
        </is>
      </c>
    </row>
    <row r="18">
      <c r="A18" s="4" t="inlineStr">
        <is>
          <t>Chhat marketplace revenue per installed home</t>
        </is>
      </c>
      <c r="B18" s="41">
        <f>'Unit economics'!B19</f>
        <v>10785.8</v>
      </c>
      <c r="C18" s="2" t="inlineStr">
        <is>
          <t>₹</t>
        </is>
      </c>
      <c r="D18" s="16" t="inlineStr">
        <is>
          <t>Unit economics sheet</t>
        </is>
      </c>
    </row>
    <row r="19">
      <c r="A19" s="4" t="inlineStr">
        <is>
          <t>Marketplace revenue pool</t>
        </is>
      </c>
      <c r="B19" s="32">
        <f>B16*100000*B18/10000000</f>
        <v>2157.16</v>
      </c>
      <c r="C19" s="2" t="inlineStr">
        <is>
          <t>₹ crore / year</t>
        </is>
      </c>
    </row>
    <row r="20">
      <c r="A20" s="4" t="inlineStr">
        <is>
          <t>Active rooftop vendors on the national portal</t>
        </is>
      </c>
      <c r="B20" s="15" t="n">
        <v>29469</v>
      </c>
      <c r="C20" s="2" t="inlineStr">
        <is>
          <t>vendors</t>
        </is>
      </c>
      <c r="D20" s="16" t="inlineStr">
        <is>
          <t>SolarQuarter, Aug 2026 (34,219 registered)</t>
        </is>
      </c>
    </row>
    <row r="21">
      <c r="A21" s="4" t="inlineStr">
        <is>
          <t>Installer SaaS pool</t>
        </is>
      </c>
      <c r="B21" s="34">
        <f>B20*Assumptions!$C$47*12/10000000</f>
        <v>106.0530372</v>
      </c>
      <c r="C21" s="2" t="inlineStr">
        <is>
          <t>₹ crore / year</t>
        </is>
      </c>
    </row>
    <row r="22">
      <c r="A22" s="4" t="inlineStr">
        <is>
          <t>States and union territories</t>
        </is>
      </c>
      <c r="B22" s="15" t="n">
        <v>36</v>
      </c>
      <c r="C22" s="2" t="inlineStr">
        <is>
          <t>count</t>
        </is>
      </c>
    </row>
    <row r="23">
      <c r="A23" s="4" t="inlineStr">
        <is>
          <t>State analytics pool</t>
        </is>
      </c>
      <c r="B23" s="34">
        <f>B22*Assumptions!$C$48/100</f>
        <v>14.4</v>
      </c>
      <c r="C23" s="2" t="inlineStr">
        <is>
          <t>₹ crore / year</t>
        </is>
      </c>
    </row>
    <row r="24">
      <c r="A24" s="3" t="inlineStr">
        <is>
          <t>SAM: annual revenue pool Chhat can serve</t>
        </is>
      </c>
      <c r="B24" s="39">
        <f>B19+B21+B23</f>
        <v>2277.6130372</v>
      </c>
      <c r="C24" s="2" t="inlineStr">
        <is>
          <t>₹ crore / year</t>
        </is>
      </c>
    </row>
    <row r="25">
      <c r="A25" s="3" t="inlineStr">
        <is>
          <t>SOM: FY31 revenue, Base case</t>
        </is>
      </c>
      <c r="B25" s="46">
        <f>'P&amp;L'!G37</f>
        <v>79.75980850845262</v>
      </c>
      <c r="C25" s="2" t="inlineStr">
        <is>
          <t>₹ crore</t>
        </is>
      </c>
    </row>
    <row r="26">
      <c r="A26" s="4" t="inlineStr">
        <is>
          <t>SOM as share of SAM</t>
        </is>
      </c>
      <c r="B26" s="38">
        <f>B25/B24</f>
        <v>0.035019034052643956</v>
      </c>
      <c r="C26" s="2" t="inlineStr">
        <is>
          <t>%</t>
        </is>
      </c>
    </row>
    <row r="27">
      <c r="A27" s="4" t="inlineStr">
        <is>
          <t>FY31 installs influenced as share of national installs</t>
        </is>
      </c>
      <c r="B27" s="52">
        <f>'M-Base'!G73/(B16*100000)</f>
        <v>0.03025332872319971</v>
      </c>
      <c r="C27" s="2" t="inlineStr">
        <is>
          <t>%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1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FY29 EBITDA (₹ lakh), Base case, vs lead fee and lead → install conversion</t>
        </is>
      </c>
    </row>
    <row r="2">
      <c r="A2" s="2" t="inlineStr">
        <is>
          <t>Exact, not approximate: FY29 EBITDA moves one-for-one with lead-fee revenue and in proportion to install-driven revenue (success and loan fees), net of 3% payments cost. Every other FY29 line is unchanged.</t>
        </is>
      </c>
    </row>
    <row r="4">
      <c r="A4" s="3" t="inlineStr">
        <is>
          <t>Lead → install ↓ / Lead fee (₹) →</t>
        </is>
      </c>
      <c r="B4" s="15" t="n">
        <v>900</v>
      </c>
      <c r="C4" s="15" t="n">
        <v>1200</v>
      </c>
      <c r="D4" s="15" t="n">
        <v>1500</v>
      </c>
      <c r="E4" s="15" t="n">
        <v>1800</v>
      </c>
      <c r="F4" s="15" t="n">
        <v>2100</v>
      </c>
    </row>
    <row r="5">
      <c r="A5" s="24" t="n">
        <v>0.12</v>
      </c>
      <c r="B5" s="32">
        <f>'M-Base'!E95+(1-Assumptions!$C$73)*((B$4-Assumptions!$E$12)*(1-Assumptions!$C$43)*'M-Base'!E72/100000+($A5/Assumptions!$E$11-1)*('M-Base'!E75+'M-Base'!E76))</f>
        <v>-499.96112716484424</v>
      </c>
      <c r="C5" s="32">
        <f>'M-Base'!E95+(1-Assumptions!$C$73)*((C$4-Assumptions!$E$12)*(1-Assumptions!$C$43)*'M-Base'!E72/100000+($A5/Assumptions!$E$11-1)*('M-Base'!E75+'M-Base'!E76))</f>
        <v>-234.5691271648442</v>
      </c>
      <c r="D5" s="32">
        <f>'M-Base'!E95+(1-Assumptions!$C$73)*((D$4-Assumptions!$E$12)*(1-Assumptions!$C$43)*'M-Base'!E72/100000+($A5/Assumptions!$E$11-1)*('M-Base'!E75+'M-Base'!E76))</f>
        <v>30.822872835155835</v>
      </c>
      <c r="E5" s="32">
        <f>'M-Base'!E95+(1-Assumptions!$C$73)*((E$4-Assumptions!$E$12)*(1-Assumptions!$C$43)*'M-Base'!E72/100000+($A5/Assumptions!$E$11-1)*('M-Base'!E75+'M-Base'!E76))</f>
        <v>296.21487283515586</v>
      </c>
      <c r="F5" s="32">
        <f>'M-Base'!E95+(1-Assumptions!$C$73)*((F$4-Assumptions!$E$12)*(1-Assumptions!$C$43)*'M-Base'!E72/100000+($A5/Assumptions!$E$11-1)*('M-Base'!E75+'M-Base'!E76))</f>
        <v>561.6068728351559</v>
      </c>
    </row>
    <row r="6">
      <c r="A6" s="24" t="n">
        <v>0.16</v>
      </c>
      <c r="B6" s="32">
        <f>'M-Base'!E95+(1-Assumptions!$C$73)*((B$4-Assumptions!$E$12)*(1-Assumptions!$C$43)*'M-Base'!E72/100000+($A6/Assumptions!$E$11-1)*('M-Base'!E75+'M-Base'!E76))</f>
        <v>-383.3062263864589</v>
      </c>
      <c r="C6" s="32">
        <f>'M-Base'!E95+(1-Assumptions!$C$73)*((C$4-Assumptions!$E$12)*(1-Assumptions!$C$43)*'M-Base'!E72/100000+($A6/Assumptions!$E$11-1)*('M-Base'!E75+'M-Base'!E76))</f>
        <v>-117.91422638645889</v>
      </c>
      <c r="D6" s="32">
        <f>'M-Base'!E95+(1-Assumptions!$C$73)*((D$4-Assumptions!$E$12)*(1-Assumptions!$C$43)*'M-Base'!E72/100000+($A6/Assumptions!$E$11-1)*('M-Base'!E75+'M-Base'!E76))</f>
        <v>147.4777736135411</v>
      </c>
      <c r="E6" s="32">
        <f>'M-Base'!E95+(1-Assumptions!$C$73)*((E$4-Assumptions!$E$12)*(1-Assumptions!$C$43)*'M-Base'!E72/100000+($A6/Assumptions!$E$11-1)*('M-Base'!E75+'M-Base'!E76))</f>
        <v>412.86977361354116</v>
      </c>
      <c r="F6" s="32">
        <f>'M-Base'!E95+(1-Assumptions!$C$73)*((F$4-Assumptions!$E$12)*(1-Assumptions!$C$43)*'M-Base'!E72/100000+($A6/Assumptions!$E$11-1)*('M-Base'!E75+'M-Base'!E76))</f>
        <v>678.2617736135412</v>
      </c>
    </row>
    <row r="7">
      <c r="A7" s="24" t="n">
        <v>0.2</v>
      </c>
      <c r="B7" s="32">
        <f>'M-Base'!E95+(1-Assumptions!$C$73)*((B$4-Assumptions!$E$12)*(1-Assumptions!$C$43)*'M-Base'!E72/100000+($A7/Assumptions!$E$11-1)*('M-Base'!E75+'M-Base'!E76))</f>
        <v>-266.65132560807353</v>
      </c>
      <c r="C7" s="32">
        <f>'M-Base'!E95+(1-Assumptions!$C$73)*((C$4-Assumptions!$E$12)*(1-Assumptions!$C$43)*'M-Base'!E72/100000+($A7/Assumptions!$E$11-1)*('M-Base'!E75+'M-Base'!E76))</f>
        <v>-1.2593256080735387</v>
      </c>
      <c r="D7" s="32">
        <f>'M-Base'!E95+(1-Assumptions!$C$73)*((D$4-Assumptions!$E$12)*(1-Assumptions!$C$43)*'M-Base'!E72/100000+($A7/Assumptions!$E$11-1)*('M-Base'!E75+'M-Base'!E76))</f>
        <v>264.13267439192646</v>
      </c>
      <c r="E7" s="32">
        <f>'M-Base'!E95+(1-Assumptions!$C$73)*((E$4-Assumptions!$E$12)*(1-Assumptions!$C$43)*'M-Base'!E72/100000+($A7/Assumptions!$E$11-1)*('M-Base'!E75+'M-Base'!E76))</f>
        <v>529.5246743919265</v>
      </c>
      <c r="F7" s="32">
        <f>'M-Base'!E95+(1-Assumptions!$C$73)*((F$4-Assumptions!$E$12)*(1-Assumptions!$C$43)*'M-Base'!E72/100000+($A7/Assumptions!$E$11-1)*('M-Base'!E75+'M-Base'!E76))</f>
        <v>794.9166743919264</v>
      </c>
    </row>
    <row r="8">
      <c r="A8" s="24" t="n">
        <v>0.24</v>
      </c>
      <c r="B8" s="32">
        <f>'M-Base'!E95+(1-Assumptions!$C$73)*((B$4-Assumptions!$E$12)*(1-Assumptions!$C$43)*'M-Base'!E72/100000+($A8/Assumptions!$E$11-1)*('M-Base'!E75+'M-Base'!E76))</f>
        <v>-149.9964248296883</v>
      </c>
      <c r="C8" s="32">
        <f>'M-Base'!E95+(1-Assumptions!$C$73)*((C$4-Assumptions!$E$12)*(1-Assumptions!$C$43)*'M-Base'!E72/100000+($A8/Assumptions!$E$11-1)*('M-Base'!E75+'M-Base'!E76))</f>
        <v>115.3955751703117</v>
      </c>
      <c r="D8" s="32">
        <f>'M-Base'!E95+(1-Assumptions!$C$73)*((D$4-Assumptions!$E$12)*(1-Assumptions!$C$43)*'M-Base'!E72/100000+($A8/Assumptions!$E$11-1)*('M-Base'!E75+'M-Base'!E76))</f>
        <v>380.78757517031175</v>
      </c>
      <c r="E8" s="32">
        <f>'M-Base'!E95+(1-Assumptions!$C$73)*((E$4-Assumptions!$E$12)*(1-Assumptions!$C$43)*'M-Base'!E72/100000+($A8/Assumptions!$E$11-1)*('M-Base'!E75+'M-Base'!E76))</f>
        <v>646.1795751703118</v>
      </c>
      <c r="F8" s="32">
        <f>'M-Base'!E95+(1-Assumptions!$C$73)*((F$4-Assumptions!$E$12)*(1-Assumptions!$C$43)*'M-Base'!E72/100000+($A8/Assumptions!$E$11-1)*('M-Base'!E75+'M-Base'!E76))</f>
        <v>911.5715751703118</v>
      </c>
    </row>
    <row r="9">
      <c r="A9" s="24" t="n">
        <v>0.28</v>
      </c>
      <c r="B9" s="32">
        <f>'M-Base'!E95+(1-Assumptions!$C$73)*((B$4-Assumptions!$E$12)*(1-Assumptions!$C$43)*'M-Base'!E72/100000+($A9/Assumptions!$E$11-1)*('M-Base'!E75+'M-Base'!E76))</f>
        <v>-33.34152405130294</v>
      </c>
      <c r="C9" s="32">
        <f>'M-Base'!E95+(1-Assumptions!$C$73)*((C$4-Assumptions!$E$12)*(1-Assumptions!$C$43)*'M-Base'!E72/100000+($A9/Assumptions!$E$11-1)*('M-Base'!E75+'M-Base'!E76))</f>
        <v>232.0504759486971</v>
      </c>
      <c r="D9" s="32">
        <f>'M-Base'!E95+(1-Assumptions!$C$73)*((D$4-Assumptions!$E$12)*(1-Assumptions!$C$43)*'M-Base'!E72/100000+($A9/Assumptions!$E$11-1)*('M-Base'!E75+'M-Base'!E76))</f>
        <v>497.44247594869717</v>
      </c>
      <c r="E9" s="32">
        <f>'M-Base'!E95+(1-Assumptions!$C$73)*((E$4-Assumptions!$E$12)*(1-Assumptions!$C$43)*'M-Base'!E72/100000+($A9/Assumptions!$E$11-1)*('M-Base'!E75+'M-Base'!E76))</f>
        <v>762.8344759486971</v>
      </c>
      <c r="F9" s="32">
        <f>'M-Base'!E95+(1-Assumptions!$C$73)*((F$4-Assumptions!$E$12)*(1-Assumptions!$C$43)*'M-Base'!E72/100000+($A9/Assumptions!$E$11-1)*('M-Base'!E75+'M-Base'!E76))</f>
        <v>1028.226475948697</v>
      </c>
    </row>
    <row r="11">
      <c r="A11" s="16" t="inlineStr">
        <is>
          <t>Base case is ₹1,500 and 20%. FY29 EBITDA breaks even at about ₹1,200 a lead (at 20% conversion) or about 11% conversion (at ₹1,500 a lead); a ₹900 lead fee needs about 29% conversion. These points come from the grid, which is linear in both inputs.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10" customWidth="1" min="2" max="2"/>
    <col width="70" customWidth="1" min="3" max="3"/>
  </cols>
  <sheetData>
    <row r="1">
      <c r="A1" s="1" t="inlineStr">
        <is>
          <t>Sources (read 30-31 Oct 2026)</t>
        </is>
      </c>
    </row>
    <row r="3">
      <c r="A3" s="11" t="inlineStr">
        <is>
          <t>Topic</t>
        </is>
      </c>
      <c r="B3" s="11" t="inlineStr">
        <is>
          <t>What it supports</t>
        </is>
      </c>
      <c r="C3" s="11" t="inlineStr">
        <is>
          <t>URL</t>
        </is>
      </c>
    </row>
    <row r="4">
      <c r="A4" t="inlineStr">
        <is>
          <t>Scheme progress</t>
        </is>
      </c>
      <c r="B4" t="inlineStr">
        <is>
          <t>51,72,635 installations; 61,36,209 households benefited; 90,32,142 applications (portal counter, 9 Oct 2026)</t>
        </is>
      </c>
      <c r="C4" s="55" t="inlineStr">
        <is>
          <t>https://bluesrenewables.com/blog/pm-surya-ghar-last-date/</t>
        </is>
      </c>
    </row>
    <row r="5">
      <c r="A5" t="inlineStr">
        <is>
          <t>Scheme progress</t>
        </is>
      </c>
      <c r="B5" t="inlineStr">
        <is>
          <t>50.06 lakh homes; record 5.06 lakh additions in July 2026; 16,328 a day; 29,469 active vendors; 21.87 lakh loans sanctioned</t>
        </is>
      </c>
      <c r="C5" s="55" t="inlineStr">
        <is>
          <t>https://solarquarter.com/2026/08/07/pm-surya-ghar-scheme-crosses-50-lakh-rooftop-solar-installations-adds-record-5-06-lakh-homes-in-july-2026/</t>
        </is>
      </c>
    </row>
    <row r="6">
      <c r="A6" t="inlineStr">
        <is>
          <t>Scheme end date</t>
        </is>
      </c>
      <c r="B6" t="inlineStr">
        <is>
          <t>31 Mar 2027; a 3-4 month extension is reported, not notified</t>
        </is>
      </c>
      <c r="C6" s="55" t="inlineStr">
        <is>
          <t>https://bluesrenewables.com/blog/pm-surya-ghar-last-date/</t>
        </is>
      </c>
    </row>
    <row r="7">
      <c r="A7" t="inlineStr">
        <is>
          <t>Rooftop potential</t>
        </is>
      </c>
      <c r="B7" t="inlineStr">
        <is>
          <t>637 GW technical, 32 GW economic with subsidy, 5% of households willing (CEEW 2023)</t>
        </is>
      </c>
      <c r="C7" s="55" t="inlineStr">
        <is>
          <t>https://pv-magazine-india.com/2023/11/16/indias-residential-rooftop-solar-potential-estimated-at-637-gw</t>
        </is>
      </c>
    </row>
    <row r="8">
      <c r="A8" t="inlineStr">
        <is>
          <t>System prices</t>
        </is>
      </c>
      <c r="B8" t="inlineStr">
        <is>
          <t>₹55,000-85,000 per kW before subsidy (2026 guides); Tata Power ₹55,000-72,000</t>
        </is>
      </c>
      <c r="C8" s="55" t="inlineStr">
        <is>
          <t>https://tatapower.solar/</t>
        </is>
      </c>
    </row>
    <row r="9">
      <c r="A9" t="inlineStr">
        <is>
          <t>Lead prices</t>
        </is>
      </c>
      <c r="B9" t="inlineStr">
        <is>
          <t>Indian solar leads ₹150-400 (low) and ₹1,200-3,500 (medium-high quality)</t>
        </is>
      </c>
      <c r="C9" s="55" t="inlineStr">
        <is>
          <t>https://www.mocaup.in/high-quality-solar-leads-ultimate-guide-for-indian-solar-installers/</t>
        </is>
      </c>
    </row>
    <row r="10">
      <c r="A10" t="inlineStr">
        <is>
          <t>Cost per close</t>
        </is>
      </c>
      <c r="B10" t="inlineStr">
        <is>
          <t>US installers target cost per closed sale under ~$1,500</t>
        </is>
      </c>
      <c r="C10" s="55" t="inlineStr">
        <is>
          <t>https://www.solarreviews.com/solar-leads</t>
        </is>
      </c>
    </row>
    <row r="11">
      <c r="A11" t="inlineStr">
        <is>
          <t>Search ads</t>
        </is>
      </c>
      <c r="B11" t="inlineStr">
        <is>
          <t>Solar keywords in India ₹15-45 per click; Google Ads invoices carry 18% GST (input credit available)</t>
        </is>
      </c>
      <c r="C11" s="55" t="inlineStr">
        <is>
          <t>https://quickestimate.co/blog/google-ads-for-solar-india</t>
        </is>
      </c>
    </row>
    <row r="12">
      <c r="A12" t="inlineStr">
        <is>
          <t>Claude API prices</t>
        </is>
      </c>
      <c r="B12" t="inlineStr">
        <is>
          <t>Opus 5.5 $4/$20; Sonnet 5.5 $2/$10; Haiku 5.5 $0.10/$0.50 per MTok; cache hits 0.05x on Opus/Sonnet 5.5</t>
        </is>
      </c>
      <c r="C12" s="55" t="inlineStr">
        <is>
          <t>https://platform.claude.com/docs/en/about-claude/pricing</t>
        </is>
      </c>
    </row>
    <row r="13">
      <c r="A13" t="inlineStr">
        <is>
          <t>Image tokens</t>
        </is>
      </c>
      <c r="B13" t="inlineStr">
        <is>
          <t>⌈width/28⌉ × ⌈height/28⌉ visual tokens</t>
        </is>
      </c>
      <c r="C13" s="55" t="inlineStr">
        <is>
          <t>https://platform.claude.com/docs/en/build-with-claude/vision</t>
        </is>
      </c>
    </row>
    <row r="14">
      <c r="A14" t="inlineStr">
        <is>
          <t>Exchange rate</t>
        </is>
      </c>
      <c r="B14" t="inlineStr">
        <is>
          <t>₹94.93 per US$ close, 30 Oct 2026</t>
        </is>
      </c>
      <c r="C14" s="55" t="inlineStr">
        <is>
          <t>https://www.deccanherald.com/business/markets/rupee-rises-33-paise-to-close-at-9493-against-us-dollar-4201069</t>
        </is>
      </c>
    </row>
    <row r="15">
      <c r="A15" t="inlineStr">
        <is>
          <t>Pay rises</t>
        </is>
      </c>
      <c r="B15" t="inlineStr">
        <is>
          <t>Aon: 9.1% average for 2026; Mercer: 9% median</t>
        </is>
      </c>
      <c r="C15" s="55" t="inlineStr">
        <is>
          <t>https://www.aon.com.au/apac/in-the-press/asia-newsroom/2026/aon-survey-projects-slight-uptick-in-salaries-in-india-2026</t>
        </is>
      </c>
    </row>
    <row r="16">
      <c r="A16" t="inlineStr">
        <is>
          <t>Engineer pay</t>
        </is>
      </c>
      <c r="B16" t="inlineStr">
        <is>
          <t>SDE-2 bands, India and Bengaluru</t>
        </is>
      </c>
      <c r="C16" s="55" t="inlineStr">
        <is>
          <t>https://ambitionbox.com/profile/sde-2-salary</t>
        </is>
      </c>
    </row>
    <row r="17">
      <c r="A17" t="inlineStr">
        <is>
          <t>Caller pay</t>
        </is>
      </c>
      <c r="B17" t="inlineStr">
        <is>
          <t>Voice-process median CTC ₹2.3 lakh a year (2026 model)</t>
        </is>
      </c>
      <c r="C17" s="55" t="inlineStr">
        <is>
          <t>https://hyring.com/jobseeker-toolkit/salary/voice-process-executive-salary-in-india</t>
        </is>
      </c>
    </row>
    <row r="18">
      <c r="A18" t="inlineStr">
        <is>
          <t>Corporate tax</t>
        </is>
      </c>
      <c r="B18" t="inlineStr">
        <is>
          <t>Income-tax Act, 2025 s.200 = old s.115BAA (22% + surcharge + cess)</t>
        </is>
      </c>
      <c r="C18" s="55" t="inlineStr">
        <is>
          <t>https://bharattax.co/income-tax/act-2025/section/200</t>
        </is>
      </c>
    </row>
    <row r="19">
      <c r="A19" t="inlineStr">
        <is>
          <t>Loss carry-forward</t>
        </is>
      </c>
      <c r="B19" t="inlineStr">
        <is>
          <t>Income-tax Act, 2025 s.112: business losses up to 8 tax years</t>
        </is>
      </c>
      <c r="C19" s="55" t="inlineStr">
        <is>
          <t>https://www.taxheal.com/?p=125767</t>
        </is>
      </c>
    </row>
    <row r="20">
      <c r="A20" t="inlineStr">
        <is>
          <t>Hackathon rules</t>
        </is>
      </c>
      <c r="B20" t="inlineStr">
        <is>
          <t>Deliverables and scoring weights</t>
        </is>
      </c>
      <c r="C20" s="55" t="inlineStr">
        <is>
          <t>https://hackindia.org/2026/ai-first-startup-hackathon-build-a-startup-using-ai-only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2026-10-31T07:06:24Z</dcterms:created>
  <dcterms:modified xsi:type="dcterms:W3CDTF">2026-10-31T07:06:24Z</dcterms:modified>
</cp:coreProperties>
</file>