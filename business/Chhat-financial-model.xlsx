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P&amp;L" sheetId="4" state="visible" r:id="rId6"/>
    <sheet name="Cash" sheetId="5" state="visible" r:id="rId7"/>
    <sheet name="Unit economics" sheetId="6" state="visible" r:id="rId8"/>
    <sheet name="Market" sheetId="7" state="visible" r:id="rId9"/>
    <sheet name="Sensi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Plan assumption. FY31 = 40 lakh reports, against ~45 lakh residential installs a year nationally (PM Surya Ghar pace: 16,328/day in Jul 2026, DD India).</t>
        </r>
      </text>
    </comment>
    <comment ref="A6" authorId="0">
      <text>
        <r>
          <rPr>
            <sz val="10"/>
            <rFont val="Arial"/>
            <family val="2"/>
          </rPr>
          <t xml:space="preserve">Assumption. Comparable intent marketplaces convert 5-12% of tool users to leads.</t>
        </r>
      </text>
    </comment>
    <comment ref="A7" authorId="0">
      <text>
        <r>
          <rPr>
            <sz val="10"/>
            <rFont val="Arial"/>
            <family val="2"/>
          </rPr>
          <t xml:space="preserve">Assumption. Pre-qualified leads with a bill and roof model close better than cold leads (industry 8-15%).</t>
        </r>
      </text>
    </comment>
    <comment ref="A8" authorId="0">
      <text>
        <r>
          <rPr>
            <sz val="10"/>
            <rFont val="Arial"/>
            <family val="2"/>
          </rPr>
          <t xml:space="preserve">Assumption. Indian solar leads trade at ₹300-1,500 unverified; verified, sized leads at the top of that range.</t>
        </r>
      </text>
    </comment>
    <comment ref="A9" authorId="0">
      <text>
        <r>
          <rPr>
            <sz val="10"/>
            <rFont val="Arial"/>
            <family val="2"/>
          </rPr>
          <t xml:space="preserve">Most PM Surya Ghar homes install ~3 kW to capture the full ₹78,000 subsidy.</t>
        </r>
      </text>
    </comment>
    <comment ref="A10" authorId="0">
      <text>
        <r>
          <rPr>
            <sz val="10"/>
            <rFont val="Arial"/>
            <family val="2"/>
          </rPr>
          <t xml:space="preserve">Chhat fair-price band, Oct 2026, falling ~2%/yr. Sources: Avaada, VoltFlow, installer lists.</t>
        </r>
      </text>
    </comment>
    <comment ref="A11" authorId="0">
      <text>
        <r>
          <rPr>
            <sz val="10"/>
            <rFont val="Arial"/>
            <family val="2"/>
          </rPr>
          <t xml:space="preserve">Assumption, paid by installer on commissioning.</t>
        </r>
      </text>
    </comment>
    <comment ref="A12" authorId="0">
      <text>
        <r>
          <rPr>
            <sz val="10"/>
            <rFont val="Arial"/>
            <family val="2"/>
          </rPr>
          <t xml:space="preserve">Assumption. PM Surya Ghar collateral-free loans up to ₹2 lakh at repo + 0.5%.</t>
        </r>
      </text>
    </comment>
    <comment ref="A13" authorId="0">
      <text>
        <r>
          <rPr>
            <sz val="10"/>
            <rFont val="Arial"/>
            <family val="2"/>
          </rPr>
          <t xml:space="preserve">≈ 90% of a 3 kW system before subsidy.</t>
        </r>
      </text>
    </comment>
    <comment ref="A14" authorId="0">
      <text>
        <r>
          <rPr>
            <sz val="10"/>
            <rFont val="Arial"/>
            <family val="2"/>
          </rPr>
          <t xml:space="preserve">Typical DSA payout from banks/NBFCs for small-ticket retail loans.</t>
        </r>
      </text>
    </comment>
    <comment ref="A15" authorId="0">
      <text>
        <r>
          <rPr>
            <sz val="10"/>
            <rFont val="Arial"/>
            <family val="2"/>
          </rPr>
          <t xml:space="preserve">India has 10,000+ registered rooftop vendors on the national portal (assumption).</t>
        </r>
      </text>
    </comment>
    <comment ref="A17" authorId="0">
      <text>
        <r>
          <rPr>
            <sz val="10"/>
            <rFont val="Arial"/>
            <family val="2"/>
          </rPr>
          <t xml:space="preserve">B2G sales: billing-error heatmaps, net-meter backlog, subsidy funnel.</t>
        </r>
      </text>
    </comment>
    <comment ref="A19" authorId="0">
      <text>
        <r>
          <rPr>
            <sz val="10"/>
            <rFont val="Arial"/>
            <family val="2"/>
          </rPr>
          <t xml:space="preserve">Paid search + content + referral. Falls slowly as shares and SEO compound; kept high for caution.</t>
        </r>
      </text>
    </comment>
    <comment ref="A20" authorId="0">
      <text>
        <r>
          <rPr>
            <sz val="10"/>
            <rFont val="Arial"/>
            <family val="2"/>
          </rPr>
          <t xml:space="preserve">Claude Opus 5.5 at $4/$20 per MTok: ~2 extraction calls + chat ≈ ₹5. Falls with caching and routing.</t>
        </r>
      </text>
    </comment>
    <comment ref="A21" authorId="0">
      <text>
        <r>
          <rPr>
            <sz val="10"/>
            <rFont val="Arial"/>
            <family val="2"/>
          </rPr>
          <t xml:space="preserve">Product/eng, growth, installer ops, lead-verification callers, B2G sales.</t>
        </r>
      </text>
    </comment>
    <comment ref="A22" authorId="0">
      <text>
        <r>
          <rPr>
            <sz val="10"/>
            <rFont val="Arial"/>
            <family val="2"/>
          </rPr>
          <t xml:space="preserve">Blended Indian startup CTC incl. benefits.</t>
        </r>
      </text>
    </comment>
    <comment ref="A26" authorId="0">
      <text>
        <r>
          <rPr>
            <sz val="10"/>
            <rFont val="Arial"/>
            <family val="2"/>
          </rPr>
          <t xml:space="preserve">Section 115BAA base rate incl. surcharge and cess. Losses not carried forward here (conservative).</t>
        </r>
      </text>
    </comment>
    <comment ref="A27" authorId="0">
      <text>
        <r>
          <rPr>
            <sz val="10"/>
            <rFont val="Arial"/>
            <family val="2"/>
          </rPr>
          <t xml:space="preserve">Seed ₹6 crore at launch; Series A ₹40 crore in FY29 (assumption).</t>
        </r>
      </text>
    </comment>
    <comment ref="A28" authorId="0">
      <text>
        <r>
          <rPr>
            <sz val="10"/>
            <rFont val="Arial"/>
            <family val="2"/>
          </rPr>
          <t xml:space="preserve">Founders' capital.</t>
        </r>
      </text>
    </comment>
  </commentList>
</comments>
</file>

<file path=xl/sharedStrings.xml><?xml version="1.0" encoding="utf-8"?>
<sst xmlns="http://schemas.openxmlformats.org/spreadsheetml/2006/main" count="250" uniqueCount="183">
  <si>
    <t xml:space="preserve">Chhat: the independent AI solar advisor for Indian homes</t>
  </si>
  <si>
    <t xml:space="preserve">Five-year financial model, base case. Prepared by Claude (AI) for the HackIndia AI-First Startup Hackathon, Oct 2026.</t>
  </si>
  <si>
    <t xml:space="preserve">How to read this model</t>
  </si>
  <si>
    <t xml:space="preserve">Blue text</t>
  </si>
  <si>
    <t xml:space="preserve">Hard-coded input. Change these.</t>
  </si>
  <si>
    <t xml:space="preserve">Black text</t>
  </si>
  <si>
    <t xml:space="preserve">Formula. Don't overwrite.</t>
  </si>
  <si>
    <t xml:space="preserve">Green text</t>
  </si>
  <si>
    <t xml:space="preserve">Link to another sheet.</t>
  </si>
  <si>
    <t xml:space="preserve">Yellow fill</t>
  </si>
  <si>
    <t xml:space="preserve">Key lever with the largest effect on the outcome.</t>
  </si>
  <si>
    <t xml:space="preserve">FY27*</t>
  </si>
  <si>
    <t xml:space="preserve">Part year: Nov 2026 to Mar 2027 (5 months).</t>
  </si>
  <si>
    <t xml:space="preserve">Units</t>
  </si>
  <si>
    <t xml:space="preserve">₹ lakh unless a row says otherwise. 1 crore = 100 lakh.</t>
  </si>
  <si>
    <t xml:space="preserve">Sheets</t>
  </si>
  <si>
    <t xml:space="preserve">Assumptions</t>
  </si>
  <si>
    <t xml:space="preserve">Every input, with its source or rationale.</t>
  </si>
  <si>
    <t xml:space="preserve">Revenue</t>
  </si>
  <si>
    <t xml:space="preserve">Funnel and five revenue streams.</t>
  </si>
  <si>
    <t xml:space="preserve">P&amp;L</t>
  </si>
  <si>
    <t xml:space="preserve">Revenue, costs, EBITDA, tax, PAT.</t>
  </si>
  <si>
    <t xml:space="preserve">Cash</t>
  </si>
  <si>
    <t xml:space="preserve">Funding, burn, runway.</t>
  </si>
  <si>
    <t xml:space="preserve">Unit economics</t>
  </si>
  <si>
    <t xml:space="preserve">Per report and per installed home.</t>
  </si>
  <si>
    <t xml:space="preserve">Market</t>
  </si>
  <si>
    <t xml:space="preserve">TAM / SAM / SOM.</t>
  </si>
  <si>
    <t xml:space="preserve">Sensitivity</t>
  </si>
  <si>
    <t xml:space="preserve">FY29 EBITDA vs lead fee and lead-to-install conversion.</t>
  </si>
  <si>
    <t xml:space="preserve">Input</t>
  </si>
  <si>
    <t xml:space="preserve">Unit / note</t>
  </si>
  <si>
    <t xml:space="preserve">FY28</t>
  </si>
  <si>
    <t xml:space="preserve">FY29</t>
  </si>
  <si>
    <t xml:space="preserve">FY30</t>
  </si>
  <si>
    <t xml:space="preserve">FY31</t>
  </si>
  <si>
    <t xml:space="preserve">Source / rationale</t>
  </si>
  <si>
    <t xml:space="preserve">Months in year</t>
  </si>
  <si>
    <t xml:space="preserve">FY27 is a part year from launch in Nov 2026</t>
  </si>
  <si>
    <t xml:space="preserve">Roof Reports generated</t>
  </si>
  <si>
    <t xml:space="preserve">count; organic + WhatsApp shares + paid search</t>
  </si>
  <si>
    <t xml:space="preserve">Plan assumption. FY31 = 40 lakh reports, against ~45 lakh residential installs a year nationally (PM Surya Ghar pace: 16,328/day in Jul 2026, DD India).</t>
  </si>
  <si>
    <t xml:space="preserve">Report → verified lead</t>
  </si>
  <si>
    <t xml:space="preserve">% of reports that ask for vetted installer quotes</t>
  </si>
  <si>
    <t xml:space="preserve">Assumption. Comparable intent marketplaces convert 5-12% of tool users to leads.</t>
  </si>
  <si>
    <t xml:space="preserve">Verified lead → installed home</t>
  </si>
  <si>
    <t xml:space="preserve">%</t>
  </si>
  <si>
    <t xml:space="preserve">Assumption. Pre-qualified leads with a bill and roof model close better than cold leads (industry 8-15%).</t>
  </si>
  <si>
    <t xml:space="preserve">Lead fee paid by installer</t>
  </si>
  <si>
    <t xml:space="preserve">₹ per verified lead</t>
  </si>
  <si>
    <t xml:space="preserve">Assumption. Indian solar leads trade at ₹300-1,500 unverified; verified, sized leads at the top of that range.</t>
  </si>
  <si>
    <t xml:space="preserve">Average system size</t>
  </si>
  <si>
    <t xml:space="preserve">kWp</t>
  </si>
  <si>
    <t xml:space="preserve">Most PM Surya Ghar homes install ~3 kW to capture the full ₹78,000 subsidy.</t>
  </si>
  <si>
    <t xml:space="preserve">Average installed price</t>
  </si>
  <si>
    <t xml:space="preserve">₹ per kW</t>
  </si>
  <si>
    <t xml:space="preserve">Chhat fair-price band, Oct 2026, falling ~2%/yr. Sources: Avaada, VoltFlow, installer lists.</t>
  </si>
  <si>
    <t xml:space="preserve">Success fee on completed installs</t>
  </si>
  <si>
    <t xml:space="preserve">% of system value</t>
  </si>
  <si>
    <t xml:space="preserve">Assumption, paid by installer on commissioning.</t>
  </si>
  <si>
    <t xml:space="preserve">Installs financed</t>
  </si>
  <si>
    <t xml:space="preserve">% of installs</t>
  </si>
  <si>
    <t xml:space="preserve">Assumption. PM Surya Ghar collateral-free loans up to ₹2 lakh at repo + 0.5%.</t>
  </si>
  <si>
    <t xml:space="preserve">Average loan</t>
  </si>
  <si>
    <t xml:space="preserve">₹</t>
  </si>
  <si>
    <t xml:space="preserve">≈ 90% of a 3 kW system before subsidy.</t>
  </si>
  <si>
    <t xml:space="preserve">Loan origination fee</t>
  </si>
  <si>
    <t xml:space="preserve">% of loan</t>
  </si>
  <si>
    <t xml:space="preserve">Typical DSA payout from banks/NBFCs for small-ticket retail loans.</t>
  </si>
  <si>
    <t xml:space="preserve">Paying installers on SaaS (average)</t>
  </si>
  <si>
    <t xml:space="preserve">count</t>
  </si>
  <si>
    <t xml:space="preserve">India has 10,000+ registered rooftop vendors on the national portal (assumption).</t>
  </si>
  <si>
    <t xml:space="preserve">Installer SaaS price</t>
  </si>
  <si>
    <t xml:space="preserve">₹ per month</t>
  </si>
  <si>
    <t xml:space="preserve">State / DISCOM analytics contracts</t>
  </si>
  <si>
    <t xml:space="preserve">B2G sales: billing-error heatmaps, net-meter backlog, subsidy funnel.</t>
  </si>
  <si>
    <t xml:space="preserve">Contract value</t>
  </si>
  <si>
    <t xml:space="preserve">₹ lakh per state per year</t>
  </si>
  <si>
    <t xml:space="preserve">Blended acquisition cost</t>
  </si>
  <si>
    <t xml:space="preserve">₹ per report</t>
  </si>
  <si>
    <t xml:space="preserve">Paid search + content + referral. Falls slowly as shares and SEO compound; kept high for caution.</t>
  </si>
  <si>
    <t xml:space="preserve">AI + infrastructure cost</t>
  </si>
  <si>
    <t xml:space="preserve">Claude Opus 5.5 at $4/$20 per MTok: ~2 extraction calls + chat ≈ ₹5. Falls with caching and routing.</t>
  </si>
  <si>
    <t xml:space="preserve">Team size (average)</t>
  </si>
  <si>
    <t xml:space="preserve">people</t>
  </si>
  <si>
    <t xml:space="preserve">Product/eng, growth, installer ops, lead-verification callers, B2G sales.</t>
  </si>
  <si>
    <t xml:space="preserve">Loaded cost per person</t>
  </si>
  <si>
    <t xml:space="preserve">₹ lakh per year</t>
  </si>
  <si>
    <t xml:space="preserve">Blended Indian startup CTC incl. benefits.</t>
  </si>
  <si>
    <t xml:space="preserve">G&amp;A</t>
  </si>
  <si>
    <t xml:space="preserve">% of payroll</t>
  </si>
  <si>
    <t xml:space="preserve">Tools, office, compliance</t>
  </si>
  <si>
    <t xml:space="preserve">Payments + partner ops</t>
  </si>
  <si>
    <t xml:space="preserve">% of revenue</t>
  </si>
  <si>
    <t xml:space="preserve">Corporate tax rate</t>
  </si>
  <si>
    <t xml:space="preserve">% of positive PBT</t>
  </si>
  <si>
    <t xml:space="preserve">Section 115BAA base rate incl. surcharge and cess. Losses not carried forward here (conservative).</t>
  </si>
  <si>
    <t xml:space="preserve">Equity raised</t>
  </si>
  <si>
    <t xml:space="preserve">₹ lakh</t>
  </si>
  <si>
    <t xml:space="preserve">Seed ₹6 crore at launch; Series A ₹40 crore in FY29 (assumption).</t>
  </si>
  <si>
    <t xml:space="preserve">Opening cash</t>
  </si>
  <si>
    <t xml:space="preserve">Founders' capital.</t>
  </si>
  <si>
    <t xml:space="preserve">Revenue build</t>
  </si>
  <si>
    <t xml:space="preserve">₹ lakh unless stated</t>
  </si>
  <si>
    <t xml:space="preserve">Reports generated</t>
  </si>
  <si>
    <t xml:space="preserve">Verified leads</t>
  </si>
  <si>
    <t xml:space="preserve">Installed homes</t>
  </si>
  <si>
    <t xml:space="preserve">Average system value</t>
  </si>
  <si>
    <t xml:space="preserve">Financed installs</t>
  </si>
  <si>
    <t xml:space="preserve">Lead fees</t>
  </si>
  <si>
    <t xml:space="preserve">Success fees</t>
  </si>
  <si>
    <t xml:space="preserve">Loan origination</t>
  </si>
  <si>
    <t xml:space="preserve">Installer SaaS</t>
  </si>
  <si>
    <t xml:space="preserve">DISCOM / state analytics</t>
  </si>
  <si>
    <t xml:space="preserve">Total revenue</t>
  </si>
  <si>
    <t xml:space="preserve">Growth</t>
  </si>
  <si>
    <t xml:space="preserve">% y/y</t>
  </si>
  <si>
    <t xml:space="preserve">Marketplace share of revenue</t>
  </si>
  <si>
    <t xml:space="preserve">Profit and loss</t>
  </si>
  <si>
    <t xml:space="preserve">Customer acquisition</t>
  </si>
  <si>
    <t xml:space="preserve">AI + infrastructure</t>
  </si>
  <si>
    <t xml:space="preserve">Gross profit</t>
  </si>
  <si>
    <t xml:space="preserve">Gross margin</t>
  </si>
  <si>
    <t xml:space="preserve">Payroll</t>
  </si>
  <si>
    <t xml:space="preserve">Total operating expenses</t>
  </si>
  <si>
    <t xml:space="preserve">EBITDA</t>
  </si>
  <si>
    <t xml:space="preserve">EBITDA margin</t>
  </si>
  <si>
    <t xml:space="preserve">Tax</t>
  </si>
  <si>
    <t xml:space="preserve">Profit after tax</t>
  </si>
  <si>
    <t xml:space="preserve">Revenue (₹ crore)</t>
  </si>
  <si>
    <t xml:space="preserve">EBITDA (₹ crore)</t>
  </si>
  <si>
    <t xml:space="preserve">Cash and runway</t>
  </si>
  <si>
    <t xml:space="preserve">Tax paid</t>
  </si>
  <si>
    <t xml:space="preserve">Capex (laptops, devices)</t>
  </si>
  <si>
    <t xml:space="preserve">₹1.2 lakh per head</t>
  </si>
  <si>
    <t xml:space="preserve">Closing cash</t>
  </si>
  <si>
    <t xml:space="preserve">Monthly net burn (if negative)</t>
  </si>
  <si>
    <t xml:space="preserve">Runway at that burn</t>
  </si>
  <si>
    <t xml:space="preserve">Funding ask</t>
  </si>
  <si>
    <t xml:space="preserve">Seed round</t>
  </si>
  <si>
    <t xml:space="preserve">Equity offered</t>
  </si>
  <si>
    <t xml:space="preserve">Implied post-money valuation</t>
  </si>
  <si>
    <t xml:space="preserve">Lowest closing cash, FY27-FY31</t>
  </si>
  <si>
    <t xml:space="preserve">Use of funds</t>
  </si>
  <si>
    <t xml:space="preserve">Product &amp; engineering</t>
  </si>
  <si>
    <t xml:space="preserve">Growth (content, referral, paid search)</t>
  </si>
  <si>
    <t xml:space="preserve">Installer network &amp; lead verification</t>
  </si>
  <si>
    <t xml:space="preserve">Compliance, legal, G&amp;A</t>
  </si>
  <si>
    <t xml:space="preserve">Unit economics (FY28 base)</t>
  </si>
  <si>
    <t xml:space="preserve">Metric</t>
  </si>
  <si>
    <t xml:space="preserve">Value</t>
  </si>
  <si>
    <t xml:space="preserve">Unit</t>
  </si>
  <si>
    <t xml:space="preserve">Revenue per report</t>
  </si>
  <si>
    <t xml:space="preserve">Variable cost per report (CAC + AI)</t>
  </si>
  <si>
    <t xml:space="preserve">Contribution per report</t>
  </si>
  <si>
    <t xml:space="preserve">Revenue to variable cost</t>
  </si>
  <si>
    <t xml:space="preserve">x</t>
  </si>
  <si>
    <t xml:space="preserve">Reports needed per installed home</t>
  </si>
  <si>
    <t xml:space="preserve">Marketplace revenue per installed home</t>
  </si>
  <si>
    <t xml:space="preserve">Variable cost per installed home</t>
  </si>
  <si>
    <t xml:space="preserve">Contribution per installed home</t>
  </si>
  <si>
    <t xml:space="preserve">Contribution margin</t>
  </si>
  <si>
    <t xml:space="preserve">Homeowner's saving, 3 kW in Delhi (year 1)</t>
  </si>
  <si>
    <t xml:space="preserve">Chhat Roof Report output for Delhi, 450 units in May (see app). Source: Chhat engine, NASA POWER.</t>
  </si>
  <si>
    <t xml:space="preserve">Chhat's take as share of the home's 25-yr savings</t>
  </si>
  <si>
    <t xml:space="preserve">Market sizing</t>
  </si>
  <si>
    <t xml:space="preserve">Homes still to reach the PM Surya Ghar target (1 crore − ~51 lakh)</t>
  </si>
  <si>
    <t xml:space="preserve">lakh homes</t>
  </si>
  <si>
    <t xml:space="preserve">DD India / MNRE, Sep 2026</t>
  </si>
  <si>
    <t xml:space="preserve">Installation value in the scheme window</t>
  </si>
  <si>
    <t xml:space="preserve">₹ crore</t>
  </si>
  <si>
    <t xml:space="preserve">Economic residential rooftop potential (with subsidy)</t>
  </si>
  <si>
    <t xml:space="preserve">GW</t>
  </si>
  <si>
    <t xml:space="preserve">CEEW 2023: 637 GW technical, 118 GW after consumption, 32 GW economic</t>
  </si>
  <si>
    <t xml:space="preserve">Homes in that potential at 3.2 kW</t>
  </si>
  <si>
    <t xml:space="preserve">TAM: installation value of economic potential</t>
  </si>
  <si>
    <t xml:space="preserve">Chhat take rate on an installed home (marketplace)</t>
  </si>
  <si>
    <t xml:space="preserve">SAM: Chhat revenue pool on the TAM</t>
  </si>
  <si>
    <t xml:space="preserve">SOM: FY31 revenue</t>
  </si>
  <si>
    <t xml:space="preserve">SOM as share of SAM</t>
  </si>
  <si>
    <t xml:space="preserve">FY29 EBITDA (₹ lakh) vs lead fee and lead → install conversion</t>
  </si>
  <si>
    <t xml:space="preserve">Lead → install ↓ / Lead fee (₹) →</t>
  </si>
  <si>
    <t xml:space="preserve">Base case is ₹1,500 and 20%. Every cell recomputes FY29 revenue with that fee and conversion; costs stay at base.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</si>
</sst>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.0"/>
    <numFmt numFmtId="168" formatCode="#,##0.0;\(#,##0.0\);\-"/>
    <numFmt numFmtId="169" formatCode="#,##0.0"/>
    <numFmt numFmtId="170" formatCode="#,##0.00"/>
    <numFmt numFmtId="171" formatCode="#,##0.00;\(#,##0.00\);\-"/>
    <numFmt numFmtId="172" formatCode="0.0&quot; months&quot;"/>
    <numFmt numFmtId="173" formatCode="0.0\x"/>
    <numFmt numFmtId="174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C9CE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2"/>
    </row>
    <row r="5" customFormat="false" ht="15" hidden="false" customHeight="false" outlineLevel="0" collapsed="false">
      <c r="A5" s="5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6" t="s">
        <v>7</v>
      </c>
      <c r="B7" s="3" t="s">
        <v>8</v>
      </c>
    </row>
    <row r="8" customFormat="false" ht="15" hidden="false" customHeight="false" outlineLevel="0" collapsed="false">
      <c r="A8" s="7" t="s">
        <v>9</v>
      </c>
      <c r="B8" s="3" t="s">
        <v>10</v>
      </c>
    </row>
    <row r="9" customFormat="false" ht="15" hidden="false" customHeight="false" outlineLevel="0" collapsed="false">
      <c r="A9" s="3" t="s">
        <v>11</v>
      </c>
      <c r="B9" s="3" t="s">
        <v>12</v>
      </c>
    </row>
    <row r="10" customFormat="false" ht="15" hidden="false" customHeight="false" outlineLevel="0" collapsed="false">
      <c r="A10" s="3" t="s">
        <v>13</v>
      </c>
      <c r="B10" s="3" t="s">
        <v>14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4" t="s">
        <v>15</v>
      </c>
      <c r="B12" s="2"/>
    </row>
    <row r="13" customFormat="false" ht="15" hidden="false" customHeight="false" outlineLevel="0" collapsed="false">
      <c r="A13" s="3" t="s">
        <v>16</v>
      </c>
      <c r="B13" s="3" t="s">
        <v>17</v>
      </c>
    </row>
    <row r="14" customFormat="false" ht="15" hidden="false" customHeight="false" outlineLevel="0" collapsed="false">
      <c r="A14" s="3" t="s">
        <v>18</v>
      </c>
      <c r="B14" s="3" t="s">
        <v>19</v>
      </c>
    </row>
    <row r="15" customFormat="false" ht="15" hidden="false" customHeight="false" outlineLevel="0" collapsed="false">
      <c r="A15" s="3" t="s">
        <v>20</v>
      </c>
      <c r="B15" s="3" t="s">
        <v>21</v>
      </c>
    </row>
    <row r="16" customFormat="false" ht="15" hidden="false" customHeight="false" outlineLevel="0" collapsed="false">
      <c r="A16" s="3" t="s">
        <v>22</v>
      </c>
      <c r="B16" s="3" t="s">
        <v>23</v>
      </c>
    </row>
    <row r="17" customFormat="false" ht="15" hidden="false" customHeight="false" outlineLevel="0" collapsed="false">
      <c r="A17" s="3" t="s">
        <v>24</v>
      </c>
      <c r="B17" s="3" t="s">
        <v>25</v>
      </c>
    </row>
    <row r="18" customFormat="false" ht="15" hidden="false" customHeight="false" outlineLevel="0" collapsed="false">
      <c r="A18" s="3" t="s">
        <v>26</v>
      </c>
      <c r="B18" s="3" t="s">
        <v>27</v>
      </c>
    </row>
    <row r="19" customFormat="false" ht="15" hidden="false" customHeight="false" outlineLevel="0" collapsed="false">
      <c r="A19" s="3" t="s">
        <v>28</v>
      </c>
      <c r="B19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0"/>
    <col collapsed="false" customWidth="true" hidden="false" outlineLevel="0" max="8" min="3" style="0" width="14"/>
    <col collapsed="false" customWidth="true" hidden="false" outlineLevel="0" max="9" min="9" style="0" width="120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8" t="s">
        <v>30</v>
      </c>
      <c r="B3" s="8" t="s">
        <v>31</v>
      </c>
      <c r="C3" s="9" t="s">
        <v>11</v>
      </c>
      <c r="D3" s="9" t="s">
        <v>32</v>
      </c>
      <c r="E3" s="9" t="s">
        <v>33</v>
      </c>
      <c r="F3" s="9" t="s">
        <v>34</v>
      </c>
      <c r="G3" s="9" t="s">
        <v>35</v>
      </c>
      <c r="H3" s="2"/>
      <c r="I3" s="8" t="s">
        <v>36</v>
      </c>
    </row>
    <row r="4" customFormat="false" ht="15" hidden="false" customHeight="false" outlineLevel="0" collapsed="false">
      <c r="A4" s="3" t="s">
        <v>37</v>
      </c>
      <c r="B4" s="10" t="s">
        <v>38</v>
      </c>
      <c r="C4" s="11" t="n">
        <v>5</v>
      </c>
      <c r="D4" s="11" t="n">
        <v>12</v>
      </c>
      <c r="E4" s="11" t="n">
        <v>12</v>
      </c>
      <c r="F4" s="11" t="n">
        <v>12</v>
      </c>
      <c r="G4" s="11" t="n">
        <v>12</v>
      </c>
      <c r="H4" s="2"/>
      <c r="I4" s="2"/>
    </row>
    <row r="5" customFormat="false" ht="15" hidden="false" customHeight="false" outlineLevel="0" collapsed="false">
      <c r="A5" s="3" t="s">
        <v>39</v>
      </c>
      <c r="B5" s="10" t="s">
        <v>40</v>
      </c>
      <c r="C5" s="12" t="n">
        <v>40000</v>
      </c>
      <c r="D5" s="12" t="n">
        <v>400000</v>
      </c>
      <c r="E5" s="12" t="n">
        <v>1200000</v>
      </c>
      <c r="F5" s="12" t="n">
        <v>2500000</v>
      </c>
      <c r="G5" s="12" t="n">
        <v>4000000</v>
      </c>
      <c r="H5" s="2"/>
      <c r="I5" s="13" t="s">
        <v>41</v>
      </c>
    </row>
    <row r="6" customFormat="false" ht="15" hidden="false" customHeight="false" outlineLevel="0" collapsed="false">
      <c r="A6" s="3" t="s">
        <v>42</v>
      </c>
      <c r="B6" s="10" t="s">
        <v>43</v>
      </c>
      <c r="C6" s="14" t="n">
        <v>0.08</v>
      </c>
      <c r="D6" s="14" t="n">
        <v>0.08</v>
      </c>
      <c r="E6" s="14" t="n">
        <v>0.08</v>
      </c>
      <c r="F6" s="14" t="n">
        <v>0.08</v>
      </c>
      <c r="G6" s="14" t="n">
        <v>0.08</v>
      </c>
      <c r="H6" s="2"/>
      <c r="I6" s="13" t="s">
        <v>44</v>
      </c>
    </row>
    <row r="7" customFormat="false" ht="15" hidden="false" customHeight="false" outlineLevel="0" collapsed="false">
      <c r="A7" s="3" t="s">
        <v>45</v>
      </c>
      <c r="B7" s="10" t="s">
        <v>46</v>
      </c>
      <c r="C7" s="14" t="n">
        <v>0.2</v>
      </c>
      <c r="D7" s="14" t="n">
        <v>0.2</v>
      </c>
      <c r="E7" s="14" t="n">
        <v>0.2</v>
      </c>
      <c r="F7" s="14" t="n">
        <v>0.2</v>
      </c>
      <c r="G7" s="14" t="n">
        <v>0.2</v>
      </c>
      <c r="H7" s="2"/>
      <c r="I7" s="13" t="s">
        <v>47</v>
      </c>
    </row>
    <row r="8" customFormat="false" ht="15" hidden="false" customHeight="false" outlineLevel="0" collapsed="false">
      <c r="A8" s="3" t="s">
        <v>48</v>
      </c>
      <c r="B8" s="10" t="s">
        <v>49</v>
      </c>
      <c r="C8" s="12" t="n">
        <v>1500</v>
      </c>
      <c r="D8" s="12" t="n">
        <v>1500</v>
      </c>
      <c r="E8" s="12" t="n">
        <v>1500</v>
      </c>
      <c r="F8" s="12" t="n">
        <v>1500</v>
      </c>
      <c r="G8" s="12" t="n">
        <v>1500</v>
      </c>
      <c r="H8" s="2"/>
      <c r="I8" s="13" t="s">
        <v>50</v>
      </c>
    </row>
    <row r="9" customFormat="false" ht="15" hidden="false" customHeight="false" outlineLevel="0" collapsed="false">
      <c r="A9" s="3" t="s">
        <v>51</v>
      </c>
      <c r="B9" s="10" t="s">
        <v>52</v>
      </c>
      <c r="C9" s="15" t="n">
        <v>3.2</v>
      </c>
      <c r="D9" s="15" t="n">
        <v>3.2</v>
      </c>
      <c r="E9" s="15" t="n">
        <v>3.2</v>
      </c>
      <c r="F9" s="15" t="n">
        <v>3.2</v>
      </c>
      <c r="G9" s="15" t="n">
        <v>3.2</v>
      </c>
      <c r="H9" s="2"/>
      <c r="I9" s="13" t="s">
        <v>53</v>
      </c>
    </row>
    <row r="10" customFormat="false" ht="15" hidden="false" customHeight="false" outlineLevel="0" collapsed="false">
      <c r="A10" s="3" t="s">
        <v>54</v>
      </c>
      <c r="B10" s="10" t="s">
        <v>55</v>
      </c>
      <c r="C10" s="11" t="n">
        <v>58000</v>
      </c>
      <c r="D10" s="11" t="n">
        <v>57000</v>
      </c>
      <c r="E10" s="11" t="n">
        <v>56000</v>
      </c>
      <c r="F10" s="11" t="n">
        <v>55000</v>
      </c>
      <c r="G10" s="11" t="n">
        <v>54000</v>
      </c>
      <c r="H10" s="2"/>
      <c r="I10" s="13" t="s">
        <v>56</v>
      </c>
    </row>
    <row r="11" customFormat="false" ht="15" hidden="false" customHeight="false" outlineLevel="0" collapsed="false">
      <c r="A11" s="3" t="s">
        <v>57</v>
      </c>
      <c r="B11" s="10" t="s">
        <v>58</v>
      </c>
      <c r="C11" s="16" t="n">
        <v>0.02</v>
      </c>
      <c r="D11" s="16" t="n">
        <v>0.02</v>
      </c>
      <c r="E11" s="16" t="n">
        <v>0.02</v>
      </c>
      <c r="F11" s="16" t="n">
        <v>0.02</v>
      </c>
      <c r="G11" s="16" t="n">
        <v>0.02</v>
      </c>
      <c r="H11" s="2"/>
      <c r="I11" s="13" t="s">
        <v>59</v>
      </c>
    </row>
    <row r="12" customFormat="false" ht="15" hidden="false" customHeight="false" outlineLevel="0" collapsed="false">
      <c r="A12" s="3" t="s">
        <v>60</v>
      </c>
      <c r="B12" s="10" t="s">
        <v>61</v>
      </c>
      <c r="C12" s="16" t="n">
        <v>0.35</v>
      </c>
      <c r="D12" s="16" t="n">
        <v>0.35</v>
      </c>
      <c r="E12" s="16" t="n">
        <v>0.35</v>
      </c>
      <c r="F12" s="16" t="n">
        <v>0.35</v>
      </c>
      <c r="G12" s="16" t="n">
        <v>0.35</v>
      </c>
      <c r="H12" s="2"/>
      <c r="I12" s="13" t="s">
        <v>62</v>
      </c>
    </row>
    <row r="13" customFormat="false" ht="15" hidden="false" customHeight="false" outlineLevel="0" collapsed="false">
      <c r="A13" s="3" t="s">
        <v>63</v>
      </c>
      <c r="B13" s="10" t="s">
        <v>64</v>
      </c>
      <c r="C13" s="11" t="n">
        <v>160000</v>
      </c>
      <c r="D13" s="11" t="n">
        <v>160000</v>
      </c>
      <c r="E13" s="11" t="n">
        <v>160000</v>
      </c>
      <c r="F13" s="11" t="n">
        <v>160000</v>
      </c>
      <c r="G13" s="11" t="n">
        <v>160000</v>
      </c>
      <c r="H13" s="2"/>
      <c r="I13" s="13" t="s">
        <v>65</v>
      </c>
    </row>
    <row r="14" customFormat="false" ht="15" hidden="false" customHeight="false" outlineLevel="0" collapsed="false">
      <c r="A14" s="3" t="s">
        <v>66</v>
      </c>
      <c r="B14" s="10" t="s">
        <v>67</v>
      </c>
      <c r="C14" s="16" t="n">
        <v>0.01</v>
      </c>
      <c r="D14" s="16" t="n">
        <v>0.01</v>
      </c>
      <c r="E14" s="16" t="n">
        <v>0.01</v>
      </c>
      <c r="F14" s="16" t="n">
        <v>0.01</v>
      </c>
      <c r="G14" s="16" t="n">
        <v>0.01</v>
      </c>
      <c r="H14" s="2"/>
      <c r="I14" s="13" t="s">
        <v>68</v>
      </c>
    </row>
    <row r="15" customFormat="false" ht="15" hidden="false" customHeight="false" outlineLevel="0" collapsed="false">
      <c r="A15" s="3" t="s">
        <v>69</v>
      </c>
      <c r="B15" s="10" t="s">
        <v>70</v>
      </c>
      <c r="C15" s="11" t="n">
        <v>25</v>
      </c>
      <c r="D15" s="11" t="n">
        <v>300</v>
      </c>
      <c r="E15" s="11" t="n">
        <v>900</v>
      </c>
      <c r="F15" s="11" t="n">
        <v>1600</v>
      </c>
      <c r="G15" s="11" t="n">
        <v>2500</v>
      </c>
      <c r="H15" s="2"/>
      <c r="I15" s="13" t="s">
        <v>71</v>
      </c>
    </row>
    <row r="16" customFormat="false" ht="15" hidden="false" customHeight="false" outlineLevel="0" collapsed="false">
      <c r="A16" s="3" t="s">
        <v>72</v>
      </c>
      <c r="B16" s="10" t="s">
        <v>73</v>
      </c>
      <c r="C16" s="11" t="n">
        <v>2999</v>
      </c>
      <c r="D16" s="11" t="n">
        <v>2999</v>
      </c>
      <c r="E16" s="11" t="n">
        <v>2999</v>
      </c>
      <c r="F16" s="11" t="n">
        <v>2999</v>
      </c>
      <c r="G16" s="11" t="n">
        <v>2999</v>
      </c>
      <c r="H16" s="2"/>
      <c r="I16" s="2"/>
    </row>
    <row r="17" customFormat="false" ht="15" hidden="false" customHeight="false" outlineLevel="0" collapsed="false">
      <c r="A17" s="3" t="s">
        <v>74</v>
      </c>
      <c r="B17" s="10" t="s">
        <v>70</v>
      </c>
      <c r="C17" s="11" t="n">
        <v>0</v>
      </c>
      <c r="D17" s="11" t="n">
        <v>1</v>
      </c>
      <c r="E17" s="11" t="n">
        <v>3</v>
      </c>
      <c r="F17" s="11" t="n">
        <v>6</v>
      </c>
      <c r="G17" s="11" t="n">
        <v>10</v>
      </c>
      <c r="H17" s="2"/>
      <c r="I17" s="13" t="s">
        <v>75</v>
      </c>
    </row>
    <row r="18" customFormat="false" ht="15" hidden="false" customHeight="false" outlineLevel="0" collapsed="false">
      <c r="A18" s="3" t="s">
        <v>76</v>
      </c>
      <c r="B18" s="10" t="s">
        <v>77</v>
      </c>
      <c r="C18" s="17" t="n">
        <v>40</v>
      </c>
      <c r="D18" s="17" t="n">
        <v>40</v>
      </c>
      <c r="E18" s="17" t="n">
        <v>40</v>
      </c>
      <c r="F18" s="17" t="n">
        <v>40</v>
      </c>
      <c r="G18" s="17" t="n">
        <v>40</v>
      </c>
      <c r="H18" s="2"/>
      <c r="I18" s="2"/>
    </row>
    <row r="19" customFormat="false" ht="15" hidden="false" customHeight="false" outlineLevel="0" collapsed="false">
      <c r="A19" s="3" t="s">
        <v>78</v>
      </c>
      <c r="B19" s="10" t="s">
        <v>79</v>
      </c>
      <c r="C19" s="12" t="n">
        <v>100</v>
      </c>
      <c r="D19" s="12" t="n">
        <v>85</v>
      </c>
      <c r="E19" s="12" t="n">
        <v>75</v>
      </c>
      <c r="F19" s="12" t="n">
        <v>65</v>
      </c>
      <c r="G19" s="12" t="n">
        <v>60</v>
      </c>
      <c r="H19" s="2"/>
      <c r="I19" s="13" t="s">
        <v>80</v>
      </c>
    </row>
    <row r="20" customFormat="false" ht="15" hidden="false" customHeight="false" outlineLevel="0" collapsed="false">
      <c r="A20" s="3" t="s">
        <v>81</v>
      </c>
      <c r="B20" s="10" t="s">
        <v>79</v>
      </c>
      <c r="C20" s="18" t="n">
        <v>6</v>
      </c>
      <c r="D20" s="18" t="n">
        <v>5</v>
      </c>
      <c r="E20" s="18" t="n">
        <v>4</v>
      </c>
      <c r="F20" s="18" t="n">
        <v>3.5</v>
      </c>
      <c r="G20" s="18" t="n">
        <v>3</v>
      </c>
      <c r="H20" s="2"/>
      <c r="I20" s="13" t="s">
        <v>82</v>
      </c>
    </row>
    <row r="21" customFormat="false" ht="15" hidden="false" customHeight="false" outlineLevel="0" collapsed="false">
      <c r="A21" s="3" t="s">
        <v>83</v>
      </c>
      <c r="B21" s="10" t="s">
        <v>84</v>
      </c>
      <c r="C21" s="11" t="n">
        <v>10</v>
      </c>
      <c r="D21" s="11" t="n">
        <v>35</v>
      </c>
      <c r="E21" s="11" t="n">
        <v>70</v>
      </c>
      <c r="F21" s="11" t="n">
        <v>110</v>
      </c>
      <c r="G21" s="11" t="n">
        <v>150</v>
      </c>
      <c r="H21" s="2"/>
      <c r="I21" s="13" t="s">
        <v>85</v>
      </c>
    </row>
    <row r="22" customFormat="false" ht="15" hidden="false" customHeight="false" outlineLevel="0" collapsed="false">
      <c r="A22" s="3" t="s">
        <v>86</v>
      </c>
      <c r="B22" s="10" t="s">
        <v>87</v>
      </c>
      <c r="C22" s="17" t="n">
        <v>15</v>
      </c>
      <c r="D22" s="17" t="n">
        <v>15</v>
      </c>
      <c r="E22" s="17" t="n">
        <v>15</v>
      </c>
      <c r="F22" s="17" t="n">
        <v>15</v>
      </c>
      <c r="G22" s="17" t="n">
        <v>15</v>
      </c>
      <c r="H22" s="2"/>
      <c r="I22" s="13" t="s">
        <v>88</v>
      </c>
    </row>
    <row r="23" customFormat="false" ht="15" hidden="false" customHeight="false" outlineLevel="0" collapsed="false">
      <c r="A23" s="3" t="s">
        <v>89</v>
      </c>
      <c r="B23" s="10" t="s">
        <v>90</v>
      </c>
      <c r="C23" s="16" t="n">
        <v>0.15</v>
      </c>
      <c r="D23" s="16" t="n">
        <v>0.15</v>
      </c>
      <c r="E23" s="16" t="n">
        <v>0.15</v>
      </c>
      <c r="F23" s="16" t="n">
        <v>0.15</v>
      </c>
      <c r="G23" s="16" t="n">
        <v>0.15</v>
      </c>
      <c r="H23" s="2"/>
      <c r="I23" s="2"/>
    </row>
    <row r="24" customFormat="false" ht="15" hidden="false" customHeight="false" outlineLevel="0" collapsed="false">
      <c r="A24" s="3" t="s">
        <v>91</v>
      </c>
      <c r="B24" s="10" t="s">
        <v>87</v>
      </c>
      <c r="C24" s="17" t="n">
        <v>10</v>
      </c>
      <c r="D24" s="17" t="n">
        <v>50</v>
      </c>
      <c r="E24" s="17" t="n">
        <v>100</v>
      </c>
      <c r="F24" s="17" t="n">
        <v>150</v>
      </c>
      <c r="G24" s="17" t="n">
        <v>200</v>
      </c>
      <c r="H24" s="2"/>
      <c r="I24" s="2"/>
    </row>
    <row r="25" customFormat="false" ht="15" hidden="false" customHeight="false" outlineLevel="0" collapsed="false">
      <c r="A25" s="3" t="s">
        <v>92</v>
      </c>
      <c r="B25" s="10" t="s">
        <v>93</v>
      </c>
      <c r="C25" s="16" t="n">
        <v>0.03</v>
      </c>
      <c r="D25" s="16" t="n">
        <v>0.03</v>
      </c>
      <c r="E25" s="16" t="n">
        <v>0.03</v>
      </c>
      <c r="F25" s="16" t="n">
        <v>0.03</v>
      </c>
      <c r="G25" s="16" t="n">
        <v>0.03</v>
      </c>
      <c r="H25" s="2"/>
      <c r="I25" s="2"/>
    </row>
    <row r="26" customFormat="false" ht="15" hidden="false" customHeight="false" outlineLevel="0" collapsed="false">
      <c r="A26" s="3" t="s">
        <v>94</v>
      </c>
      <c r="B26" s="10" t="s">
        <v>95</v>
      </c>
      <c r="C26" s="16" t="n">
        <v>0.2517</v>
      </c>
      <c r="D26" s="16" t="n">
        <v>0.2517</v>
      </c>
      <c r="E26" s="16" t="n">
        <v>0.2517</v>
      </c>
      <c r="F26" s="16" t="n">
        <v>0.2517</v>
      </c>
      <c r="G26" s="16" t="n">
        <v>0.2517</v>
      </c>
      <c r="H26" s="2"/>
      <c r="I26" s="13" t="s">
        <v>96</v>
      </c>
    </row>
    <row r="27" customFormat="false" ht="15" hidden="false" customHeight="false" outlineLevel="0" collapsed="false">
      <c r="A27" s="3" t="s">
        <v>97</v>
      </c>
      <c r="B27" s="10" t="s">
        <v>98</v>
      </c>
      <c r="C27" s="19" t="n">
        <v>600</v>
      </c>
      <c r="D27" s="19" t="n">
        <v>0</v>
      </c>
      <c r="E27" s="19" t="n">
        <v>4000</v>
      </c>
      <c r="F27" s="19" t="n">
        <v>0</v>
      </c>
      <c r="G27" s="19" t="n">
        <v>0</v>
      </c>
      <c r="H27" s="2"/>
      <c r="I27" s="13" t="s">
        <v>99</v>
      </c>
    </row>
    <row r="28" customFormat="false" ht="15" hidden="false" customHeight="false" outlineLevel="0" collapsed="false">
      <c r="A28" s="3" t="s">
        <v>100</v>
      </c>
      <c r="B28" s="10" t="s">
        <v>98</v>
      </c>
      <c r="C28" s="17" t="n">
        <v>20</v>
      </c>
      <c r="D28" s="2"/>
      <c r="E28" s="2"/>
      <c r="F28" s="2"/>
      <c r="G28" s="2"/>
      <c r="H28" s="2"/>
      <c r="I28" s="1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8" t="s">
        <v>103</v>
      </c>
      <c r="B3" s="8" t="s">
        <v>31</v>
      </c>
      <c r="C3" s="9" t="s">
        <v>11</v>
      </c>
      <c r="D3" s="9" t="s">
        <v>32</v>
      </c>
      <c r="E3" s="9" t="s">
        <v>33</v>
      </c>
      <c r="F3" s="9" t="s">
        <v>34</v>
      </c>
      <c r="G3" s="9" t="s">
        <v>35</v>
      </c>
    </row>
    <row r="4" customFormat="false" ht="15" hidden="false" customHeight="false" outlineLevel="0" collapsed="false">
      <c r="A4" s="3" t="s">
        <v>104</v>
      </c>
      <c r="B4" s="10" t="s">
        <v>70</v>
      </c>
      <c r="C4" s="20" t="n">
        <f aca="false">Assumptions!C$5</f>
        <v>40000</v>
      </c>
      <c r="D4" s="20" t="n">
        <f aca="false">Assumptions!D$5</f>
        <v>400000</v>
      </c>
      <c r="E4" s="20" t="n">
        <f aca="false">Assumptions!E$5</f>
        <v>1200000</v>
      </c>
      <c r="F4" s="20" t="n">
        <f aca="false">Assumptions!F$5</f>
        <v>2500000</v>
      </c>
      <c r="G4" s="20" t="n">
        <f aca="false">Assumptions!G$5</f>
        <v>4000000</v>
      </c>
    </row>
    <row r="5" customFormat="false" ht="15" hidden="false" customHeight="false" outlineLevel="0" collapsed="false">
      <c r="A5" s="3" t="s">
        <v>105</v>
      </c>
      <c r="B5" s="10" t="s">
        <v>70</v>
      </c>
      <c r="C5" s="21" t="n">
        <f aca="false">C4*Assumptions!C$6</f>
        <v>3200</v>
      </c>
      <c r="D5" s="21" t="n">
        <f aca="false">D4*Assumptions!D$6</f>
        <v>32000</v>
      </c>
      <c r="E5" s="21" t="n">
        <f aca="false">E4*Assumptions!E$6</f>
        <v>96000</v>
      </c>
      <c r="F5" s="21" t="n">
        <f aca="false">F4*Assumptions!F$6</f>
        <v>200000</v>
      </c>
      <c r="G5" s="21" t="n">
        <f aca="false">G4*Assumptions!G$6</f>
        <v>320000</v>
      </c>
    </row>
    <row r="6" customFormat="false" ht="15" hidden="false" customHeight="false" outlineLevel="0" collapsed="false">
      <c r="A6" s="3" t="s">
        <v>106</v>
      </c>
      <c r="B6" s="10" t="s">
        <v>70</v>
      </c>
      <c r="C6" s="21" t="n">
        <f aca="false">C5*Assumptions!C$7</f>
        <v>640</v>
      </c>
      <c r="D6" s="21" t="n">
        <f aca="false">D5*Assumptions!D$7</f>
        <v>6400</v>
      </c>
      <c r="E6" s="21" t="n">
        <f aca="false">E5*Assumptions!E$7</f>
        <v>19200</v>
      </c>
      <c r="F6" s="21" t="n">
        <f aca="false">F5*Assumptions!F$7</f>
        <v>40000</v>
      </c>
      <c r="G6" s="21" t="n">
        <f aca="false">G5*Assumptions!G$7</f>
        <v>64000</v>
      </c>
    </row>
    <row r="7" customFormat="false" ht="15" hidden="false" customHeight="false" outlineLevel="0" collapsed="false">
      <c r="A7" s="3" t="s">
        <v>107</v>
      </c>
      <c r="B7" s="10" t="s">
        <v>64</v>
      </c>
      <c r="C7" s="21" t="n">
        <f aca="false">Assumptions!C$9*Assumptions!C$10</f>
        <v>185600</v>
      </c>
      <c r="D7" s="21" t="n">
        <f aca="false">Assumptions!D$9*Assumptions!D$10</f>
        <v>182400</v>
      </c>
      <c r="E7" s="21" t="n">
        <f aca="false">Assumptions!E$9*Assumptions!E$10</f>
        <v>179200</v>
      </c>
      <c r="F7" s="21" t="n">
        <f aca="false">Assumptions!F$9*Assumptions!F$10</f>
        <v>176000</v>
      </c>
      <c r="G7" s="21" t="n">
        <f aca="false">Assumptions!G$9*Assumptions!G$10</f>
        <v>172800</v>
      </c>
    </row>
    <row r="8" customFormat="false" ht="15" hidden="false" customHeight="false" outlineLevel="0" collapsed="false">
      <c r="A8" s="3" t="s">
        <v>108</v>
      </c>
      <c r="B8" s="10" t="s">
        <v>70</v>
      </c>
      <c r="C8" s="21" t="n">
        <f aca="false">C6*Assumptions!C$12</f>
        <v>224</v>
      </c>
      <c r="D8" s="21" t="n">
        <f aca="false">D6*Assumptions!D$12</f>
        <v>2240</v>
      </c>
      <c r="E8" s="21" t="n">
        <f aca="false">E6*Assumptions!E$12</f>
        <v>6720</v>
      </c>
      <c r="F8" s="21" t="n">
        <f aca="false">F6*Assumptions!F$12</f>
        <v>14000</v>
      </c>
      <c r="G8" s="21" t="n">
        <f aca="false">G6*Assumptions!G$12</f>
        <v>22400</v>
      </c>
    </row>
    <row r="9" customFormat="false" ht="15" hidden="false" customHeight="false" outlineLevel="0" collapsed="false">
      <c r="A9" s="3"/>
      <c r="B9" s="10"/>
      <c r="C9" s="2"/>
      <c r="D9" s="2"/>
      <c r="E9" s="2"/>
      <c r="F9" s="2"/>
      <c r="G9" s="2"/>
    </row>
    <row r="10" customFormat="false" ht="15" hidden="false" customHeight="false" outlineLevel="0" collapsed="false">
      <c r="A10" s="3" t="s">
        <v>109</v>
      </c>
      <c r="B10" s="10" t="s">
        <v>98</v>
      </c>
      <c r="C10" s="22" t="n">
        <f aca="false">C5*Assumptions!C$8/100000</f>
        <v>48</v>
      </c>
      <c r="D10" s="22" t="n">
        <f aca="false">D5*Assumptions!D$8/100000</f>
        <v>480</v>
      </c>
      <c r="E10" s="22" t="n">
        <f aca="false">E5*Assumptions!E$8/100000</f>
        <v>1440</v>
      </c>
      <c r="F10" s="22" t="n">
        <f aca="false">F5*Assumptions!F$8/100000</f>
        <v>3000</v>
      </c>
      <c r="G10" s="22" t="n">
        <f aca="false">G5*Assumptions!G$8/100000</f>
        <v>4800</v>
      </c>
    </row>
    <row r="11" customFormat="false" ht="15" hidden="false" customHeight="false" outlineLevel="0" collapsed="false">
      <c r="A11" s="3" t="s">
        <v>110</v>
      </c>
      <c r="B11" s="10" t="s">
        <v>98</v>
      </c>
      <c r="C11" s="22" t="n">
        <f aca="false">C6*C7*Assumptions!C$11/100000</f>
        <v>23.7568</v>
      </c>
      <c r="D11" s="22" t="n">
        <f aca="false">D6*D7*Assumptions!D$11/100000</f>
        <v>233.472</v>
      </c>
      <c r="E11" s="22" t="n">
        <f aca="false">E6*E7*Assumptions!E$11/100000</f>
        <v>688.128</v>
      </c>
      <c r="F11" s="22" t="n">
        <f aca="false">F6*F7*Assumptions!F$11/100000</f>
        <v>1408</v>
      </c>
      <c r="G11" s="22" t="n">
        <f aca="false">G6*G7*Assumptions!G$11/100000</f>
        <v>2211.84</v>
      </c>
    </row>
    <row r="12" customFormat="false" ht="15" hidden="false" customHeight="false" outlineLevel="0" collapsed="false">
      <c r="A12" s="3" t="s">
        <v>111</v>
      </c>
      <c r="B12" s="10" t="s">
        <v>98</v>
      </c>
      <c r="C12" s="22" t="n">
        <f aca="false">C8*Assumptions!C$13*Assumptions!C$14/100000</f>
        <v>3.584</v>
      </c>
      <c r="D12" s="22" t="n">
        <f aca="false">D8*Assumptions!D$13*Assumptions!D$14/100000</f>
        <v>35.84</v>
      </c>
      <c r="E12" s="22" t="n">
        <f aca="false">E8*Assumptions!E$13*Assumptions!E$14/100000</f>
        <v>107.52</v>
      </c>
      <c r="F12" s="22" t="n">
        <f aca="false">F8*Assumptions!F$13*Assumptions!F$14/100000</f>
        <v>224</v>
      </c>
      <c r="G12" s="22" t="n">
        <f aca="false">G8*Assumptions!G$13*Assumptions!G$14/100000</f>
        <v>358.4</v>
      </c>
    </row>
    <row r="13" customFormat="false" ht="15" hidden="false" customHeight="false" outlineLevel="0" collapsed="false">
      <c r="A13" s="3" t="s">
        <v>112</v>
      </c>
      <c r="B13" s="10" t="s">
        <v>98</v>
      </c>
      <c r="C13" s="22" t="n">
        <f aca="false">Assumptions!C$15*Assumptions!C$16*Assumptions!C$4/100000</f>
        <v>3.74875</v>
      </c>
      <c r="D13" s="22" t="n">
        <f aca="false">Assumptions!D$15*Assumptions!D$16*Assumptions!D$4/100000</f>
        <v>107.964</v>
      </c>
      <c r="E13" s="22" t="n">
        <f aca="false">Assumptions!E$15*Assumptions!E$16*Assumptions!E$4/100000</f>
        <v>323.892</v>
      </c>
      <c r="F13" s="22" t="n">
        <f aca="false">Assumptions!F$15*Assumptions!F$16*Assumptions!F$4/100000</f>
        <v>575.808</v>
      </c>
      <c r="G13" s="22" t="n">
        <f aca="false">Assumptions!G$15*Assumptions!G$16*Assumptions!G$4/100000</f>
        <v>899.7</v>
      </c>
    </row>
    <row r="14" customFormat="false" ht="15" hidden="false" customHeight="false" outlineLevel="0" collapsed="false">
      <c r="A14" s="3" t="s">
        <v>113</v>
      </c>
      <c r="B14" s="10" t="s">
        <v>98</v>
      </c>
      <c r="C14" s="22" t="n">
        <f aca="false">Assumptions!C$17*Assumptions!C$18*Assumptions!C$4/12</f>
        <v>0</v>
      </c>
      <c r="D14" s="22" t="n">
        <f aca="false">Assumptions!D$17*Assumptions!D$18*Assumptions!D$4/12</f>
        <v>40</v>
      </c>
      <c r="E14" s="22" t="n">
        <f aca="false">Assumptions!E$17*Assumptions!E$18*Assumptions!E$4/12</f>
        <v>120</v>
      </c>
      <c r="F14" s="22" t="n">
        <f aca="false">Assumptions!F$17*Assumptions!F$18*Assumptions!F$4/12</f>
        <v>240</v>
      </c>
      <c r="G14" s="22" t="n">
        <f aca="false">Assumptions!G$17*Assumptions!G$18*Assumptions!G$4/12</f>
        <v>400</v>
      </c>
    </row>
    <row r="15" customFormat="false" ht="15" hidden="false" customHeight="false" outlineLevel="0" collapsed="false">
      <c r="A15" s="4" t="s">
        <v>114</v>
      </c>
      <c r="B15" s="10" t="s">
        <v>98</v>
      </c>
      <c r="C15" s="23" t="n">
        <f aca="false">SUM(C10:C14)</f>
        <v>79.08955</v>
      </c>
      <c r="D15" s="23" t="n">
        <f aca="false">SUM(D10:D14)</f>
        <v>897.276</v>
      </c>
      <c r="E15" s="23" t="n">
        <f aca="false">SUM(E10:E14)</f>
        <v>2679.54</v>
      </c>
      <c r="F15" s="23" t="n">
        <f aca="false">SUM(F10:F14)</f>
        <v>5447.808</v>
      </c>
      <c r="G15" s="23" t="n">
        <f aca="false">SUM(G10:G14)</f>
        <v>8669.94</v>
      </c>
    </row>
    <row r="16" customFormat="false" ht="15" hidden="false" customHeight="false" outlineLevel="0" collapsed="false">
      <c r="A16" s="3" t="s">
        <v>115</v>
      </c>
      <c r="B16" s="10" t="s">
        <v>116</v>
      </c>
      <c r="C16" s="2"/>
      <c r="D16" s="24" t="n">
        <f aca="false">IF(C15=0,0,D15/C15-1)</f>
        <v>10.3450639180524</v>
      </c>
      <c r="E16" s="24" t="n">
        <f aca="false">IF(D15=0,0,E15/D15-1)</f>
        <v>1.98630521712383</v>
      </c>
      <c r="F16" s="24" t="n">
        <f aca="false">IF(E15=0,0,F15/E15-1)</f>
        <v>1.0331131462863</v>
      </c>
      <c r="G16" s="24" t="n">
        <f aca="false">IF(F15=0,0,G15/F15-1)</f>
        <v>0.591454764925636</v>
      </c>
    </row>
    <row r="17" customFormat="false" ht="15" hidden="false" customHeight="false" outlineLevel="0" collapsed="false">
      <c r="A17" s="3" t="s">
        <v>117</v>
      </c>
      <c r="B17" s="10" t="s">
        <v>46</v>
      </c>
      <c r="C17" s="24" t="n">
        <f aca="false">IF(C15=0,0,SUM(C10:C12)/C15)</f>
        <v>0.952601196997581</v>
      </c>
      <c r="D17" s="24" t="n">
        <f aca="false">IF(D15=0,0,SUM(D10:D12)/D15)</f>
        <v>0.835096447469898</v>
      </c>
      <c r="E17" s="24" t="n">
        <f aca="false">IF(E15=0,0,SUM(E10:E12)/E15)</f>
        <v>0.834340222575517</v>
      </c>
      <c r="F17" s="24" t="n">
        <f aca="false">IF(F15=0,0,SUM(F10:F12)/F15)</f>
        <v>0.850250229082963</v>
      </c>
      <c r="G17" s="24" t="n">
        <f aca="false">IF(G15=0,0,SUM(G10:G12)/G15)</f>
        <v>0.850091234772098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118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8" t="s">
        <v>103</v>
      </c>
      <c r="B3" s="8" t="s">
        <v>31</v>
      </c>
      <c r="C3" s="9" t="s">
        <v>11</v>
      </c>
      <c r="D3" s="9" t="s">
        <v>32</v>
      </c>
      <c r="E3" s="9" t="s">
        <v>33</v>
      </c>
      <c r="F3" s="9" t="s">
        <v>34</v>
      </c>
      <c r="G3" s="9" t="s">
        <v>35</v>
      </c>
    </row>
    <row r="4" customFormat="false" ht="15" hidden="false" customHeight="false" outlineLevel="0" collapsed="false">
      <c r="A4" s="3" t="s">
        <v>18</v>
      </c>
      <c r="B4" s="2"/>
      <c r="C4" s="25" t="n">
        <f aca="false">Revenue!C15</f>
        <v>79.08955</v>
      </c>
      <c r="D4" s="25" t="n">
        <f aca="false">Revenue!D15</f>
        <v>897.276</v>
      </c>
      <c r="E4" s="25" t="n">
        <f aca="false">Revenue!E15</f>
        <v>2679.54</v>
      </c>
      <c r="F4" s="25" t="n">
        <f aca="false">Revenue!F15</f>
        <v>5447.808</v>
      </c>
      <c r="G4" s="25" t="n">
        <f aca="false">Revenue!G15</f>
        <v>8669.94</v>
      </c>
    </row>
    <row r="5" customFormat="false" ht="15" hidden="false" customHeight="false" outlineLevel="0" collapsed="false">
      <c r="A5" s="3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3" t="s">
        <v>119</v>
      </c>
      <c r="B6" s="2"/>
      <c r="C6" s="22" t="n">
        <f aca="false">Assumptions!C$5*Assumptions!C$19/100000</f>
        <v>40</v>
      </c>
      <c r="D6" s="22" t="n">
        <f aca="false">Assumptions!D$5*Assumptions!D$19/100000</f>
        <v>340</v>
      </c>
      <c r="E6" s="22" t="n">
        <f aca="false">Assumptions!E$5*Assumptions!E$19/100000</f>
        <v>900</v>
      </c>
      <c r="F6" s="22" t="n">
        <f aca="false">Assumptions!F$5*Assumptions!F$19/100000</f>
        <v>1625</v>
      </c>
      <c r="G6" s="22" t="n">
        <f aca="false">Assumptions!G$5*Assumptions!G$19/100000</f>
        <v>2400</v>
      </c>
    </row>
    <row r="7" customFormat="false" ht="15" hidden="false" customHeight="false" outlineLevel="0" collapsed="false">
      <c r="A7" s="3" t="s">
        <v>120</v>
      </c>
      <c r="B7" s="2"/>
      <c r="C7" s="22" t="n">
        <f aca="false">Assumptions!C$5*Assumptions!C$20/100000</f>
        <v>2.4</v>
      </c>
      <c r="D7" s="22" t="n">
        <f aca="false">Assumptions!D$5*Assumptions!D$20/100000</f>
        <v>20</v>
      </c>
      <c r="E7" s="22" t="n">
        <f aca="false">Assumptions!E$5*Assumptions!E$20/100000</f>
        <v>48</v>
      </c>
      <c r="F7" s="22" t="n">
        <f aca="false">Assumptions!F$5*Assumptions!F$20/100000</f>
        <v>87.5</v>
      </c>
      <c r="G7" s="22" t="n">
        <f aca="false">Assumptions!G$5*Assumptions!G$20/100000</f>
        <v>120</v>
      </c>
    </row>
    <row r="8" customFormat="false" ht="15" hidden="false" customHeight="false" outlineLevel="0" collapsed="false">
      <c r="A8" s="3" t="s">
        <v>92</v>
      </c>
      <c r="B8" s="2"/>
      <c r="C8" s="22" t="n">
        <f aca="false">C4*Assumptions!C$25</f>
        <v>2.3726865</v>
      </c>
      <c r="D8" s="22" t="n">
        <f aca="false">D4*Assumptions!D$25</f>
        <v>26.91828</v>
      </c>
      <c r="E8" s="22" t="n">
        <f aca="false">E4*Assumptions!E$25</f>
        <v>80.3862</v>
      </c>
      <c r="F8" s="22" t="n">
        <f aca="false">F4*Assumptions!F$25</f>
        <v>163.43424</v>
      </c>
      <c r="G8" s="22" t="n">
        <f aca="false">G4*Assumptions!G$25</f>
        <v>260.0982</v>
      </c>
    </row>
    <row r="9" customFormat="false" ht="15" hidden="false" customHeight="false" outlineLevel="0" collapsed="false">
      <c r="A9" s="4" t="s">
        <v>121</v>
      </c>
      <c r="B9" s="2"/>
      <c r="C9" s="23" t="n">
        <f aca="false">C4-SUM(C6:C8)</f>
        <v>34.3168635</v>
      </c>
      <c r="D9" s="23" t="n">
        <f aca="false">D4-SUM(D6:D8)</f>
        <v>510.35772</v>
      </c>
      <c r="E9" s="23" t="n">
        <f aca="false">E4-SUM(E6:E8)</f>
        <v>1651.1538</v>
      </c>
      <c r="F9" s="23" t="n">
        <f aca="false">F4-SUM(F6:F8)</f>
        <v>3571.87376</v>
      </c>
      <c r="G9" s="23" t="n">
        <f aca="false">G4-SUM(G6:G8)</f>
        <v>5889.8418</v>
      </c>
    </row>
    <row r="10" customFormat="false" ht="15" hidden="false" customHeight="false" outlineLevel="0" collapsed="false">
      <c r="A10" s="3" t="s">
        <v>122</v>
      </c>
      <c r="B10" s="2"/>
      <c r="C10" s="24" t="n">
        <f aca="false">IF(C4=0,0,C9/C4)</f>
        <v>0.433898833663866</v>
      </c>
      <c r="D10" s="24" t="n">
        <f aca="false">IF(D4=0,0,D9/D4)</f>
        <v>0.568785657924652</v>
      </c>
      <c r="E10" s="24" t="n">
        <f aca="false">IF(E4=0,0,E9/E4)</f>
        <v>0.616207931212074</v>
      </c>
      <c r="F10" s="24" t="n">
        <f aca="false">IF(F4=0,0,F9/F4)</f>
        <v>0.655653385728719</v>
      </c>
      <c r="G10" s="24" t="n">
        <f aca="false">IF(G4=0,0,G9/G4)</f>
        <v>0.679340549069544</v>
      </c>
    </row>
    <row r="11" customFormat="false" ht="15" hidden="false" customHeight="false" outlineLevel="0" collapsed="false">
      <c r="A11" s="3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3" t="s">
        <v>123</v>
      </c>
      <c r="B12" s="2"/>
      <c r="C12" s="22" t="n">
        <f aca="false">Assumptions!C$21*Assumptions!C$22*Assumptions!C$4/12</f>
        <v>62.5</v>
      </c>
      <c r="D12" s="22" t="n">
        <f aca="false">Assumptions!D$21*Assumptions!D$22*Assumptions!D$4/12</f>
        <v>525</v>
      </c>
      <c r="E12" s="22" t="n">
        <f aca="false">Assumptions!E$21*Assumptions!E$22*Assumptions!E$4/12</f>
        <v>1050</v>
      </c>
      <c r="F12" s="22" t="n">
        <f aca="false">Assumptions!F$21*Assumptions!F$22*Assumptions!F$4/12</f>
        <v>1650</v>
      </c>
      <c r="G12" s="22" t="n">
        <f aca="false">Assumptions!G$21*Assumptions!G$22*Assumptions!G$4/12</f>
        <v>2250</v>
      </c>
    </row>
    <row r="13" customFormat="false" ht="15" hidden="false" customHeight="false" outlineLevel="0" collapsed="false">
      <c r="A13" s="3" t="s">
        <v>89</v>
      </c>
      <c r="B13" s="2"/>
      <c r="C13" s="22" t="n">
        <f aca="false">C12*Assumptions!C$23</f>
        <v>9.375</v>
      </c>
      <c r="D13" s="22" t="n">
        <f aca="false">D12*Assumptions!D$23</f>
        <v>78.75</v>
      </c>
      <c r="E13" s="22" t="n">
        <f aca="false">E12*Assumptions!E$23</f>
        <v>157.5</v>
      </c>
      <c r="F13" s="22" t="n">
        <f aca="false">F12*Assumptions!F$23</f>
        <v>247.5</v>
      </c>
      <c r="G13" s="22" t="n">
        <f aca="false">G12*Assumptions!G$23</f>
        <v>337.5</v>
      </c>
    </row>
    <row r="14" customFormat="false" ht="15" hidden="false" customHeight="false" outlineLevel="0" collapsed="false">
      <c r="A14" s="3" t="s">
        <v>91</v>
      </c>
      <c r="B14" s="2"/>
      <c r="C14" s="25" t="n">
        <f aca="false">Assumptions!C$24</f>
        <v>10</v>
      </c>
      <c r="D14" s="25" t="n">
        <f aca="false">Assumptions!D$24</f>
        <v>50</v>
      </c>
      <c r="E14" s="25" t="n">
        <f aca="false">Assumptions!E$24</f>
        <v>100</v>
      </c>
      <c r="F14" s="25" t="n">
        <f aca="false">Assumptions!F$24</f>
        <v>150</v>
      </c>
      <c r="G14" s="25" t="n">
        <f aca="false">Assumptions!G$24</f>
        <v>200</v>
      </c>
    </row>
    <row r="15" customFormat="false" ht="15" hidden="false" customHeight="false" outlineLevel="0" collapsed="false">
      <c r="A15" s="4" t="s">
        <v>124</v>
      </c>
      <c r="B15" s="2"/>
      <c r="C15" s="23" t="n">
        <f aca="false">SUM(C12:C14)</f>
        <v>81.875</v>
      </c>
      <c r="D15" s="23" t="n">
        <f aca="false">SUM(D12:D14)</f>
        <v>653.75</v>
      </c>
      <c r="E15" s="23" t="n">
        <f aca="false">SUM(E12:E14)</f>
        <v>1307.5</v>
      </c>
      <c r="F15" s="23" t="n">
        <f aca="false">SUM(F12:F14)</f>
        <v>2047.5</v>
      </c>
      <c r="G15" s="23" t="n">
        <f aca="false">SUM(G12:G14)</f>
        <v>2787.5</v>
      </c>
    </row>
    <row r="16" customFormat="false" ht="15" hidden="false" customHeight="false" outlineLevel="0" collapsed="false">
      <c r="A16" s="3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" t="s">
        <v>125</v>
      </c>
      <c r="B17" s="2"/>
      <c r="C17" s="23" t="n">
        <f aca="false">C9-C15</f>
        <v>-47.5581365</v>
      </c>
      <c r="D17" s="23" t="n">
        <f aca="false">D9-D15</f>
        <v>-143.39228</v>
      </c>
      <c r="E17" s="23" t="n">
        <f aca="false">E9-E15</f>
        <v>343.6538</v>
      </c>
      <c r="F17" s="23" t="n">
        <f aca="false">F9-F15</f>
        <v>1524.37376</v>
      </c>
      <c r="G17" s="23" t="n">
        <f aca="false">G9-G15</f>
        <v>3102.3418</v>
      </c>
    </row>
    <row r="18" customFormat="false" ht="15" hidden="false" customHeight="false" outlineLevel="0" collapsed="false">
      <c r="A18" s="3" t="s">
        <v>126</v>
      </c>
      <c r="B18" s="2"/>
      <c r="C18" s="24" t="n">
        <f aca="false">IF(C4=0,0,C17/C4)</f>
        <v>-0.601320104868469</v>
      </c>
      <c r="D18" s="24" t="n">
        <f aca="false">IF(D4=0,0,D17/D4)</f>
        <v>-0.159808442441345</v>
      </c>
      <c r="E18" s="24" t="n">
        <f aca="false">IF(E4=0,0,E17/E4)</f>
        <v>0.128251043089486</v>
      </c>
      <c r="F18" s="24" t="n">
        <f aca="false">IF(F4=0,0,F17/F4)</f>
        <v>0.27981414910364</v>
      </c>
      <c r="G18" s="24" t="n">
        <f aca="false">IF(G4=0,0,G17/G4)</f>
        <v>0.357827366740716</v>
      </c>
    </row>
    <row r="19" customFormat="false" ht="15" hidden="false" customHeight="false" outlineLevel="0" collapsed="false">
      <c r="A19" s="3" t="s">
        <v>127</v>
      </c>
      <c r="B19" s="2"/>
      <c r="C19" s="22" t="n">
        <f aca="false">MAX(0,C17)*Assumptions!C$26</f>
        <v>0</v>
      </c>
      <c r="D19" s="22" t="n">
        <f aca="false">MAX(0,D17)*Assumptions!D$26</f>
        <v>0</v>
      </c>
      <c r="E19" s="22" t="n">
        <f aca="false">MAX(0,E17)*Assumptions!E$26</f>
        <v>86.49766146</v>
      </c>
      <c r="F19" s="22" t="n">
        <f aca="false">MAX(0,F17)*Assumptions!F$26</f>
        <v>383.684875392</v>
      </c>
      <c r="G19" s="22" t="n">
        <f aca="false">MAX(0,G17)*Assumptions!G$26</f>
        <v>780.85943106</v>
      </c>
    </row>
    <row r="20" customFormat="false" ht="15" hidden="false" customHeight="false" outlineLevel="0" collapsed="false">
      <c r="A20" s="4" t="s">
        <v>128</v>
      </c>
      <c r="B20" s="2"/>
      <c r="C20" s="23" t="n">
        <f aca="false">C17-C19</f>
        <v>-47.5581365</v>
      </c>
      <c r="D20" s="23" t="n">
        <f aca="false">D17-D19</f>
        <v>-143.39228</v>
      </c>
      <c r="E20" s="23" t="n">
        <f aca="false">E17-E19</f>
        <v>257.15613854</v>
      </c>
      <c r="F20" s="23" t="n">
        <f aca="false">F17-F19</f>
        <v>1140.688884608</v>
      </c>
      <c r="G20" s="23" t="n">
        <f aca="false">G17-G19</f>
        <v>2321.48236894</v>
      </c>
    </row>
    <row r="21" customFormat="false" ht="15" hidden="false" customHeight="false" outlineLevel="0" collapsed="false">
      <c r="A21" s="3" t="s">
        <v>129</v>
      </c>
      <c r="B21" s="2"/>
      <c r="C21" s="26" t="n">
        <f aca="false">C4/100</f>
        <v>0.7908955</v>
      </c>
      <c r="D21" s="26" t="n">
        <f aca="false">D4/100</f>
        <v>8.97276</v>
      </c>
      <c r="E21" s="26" t="n">
        <f aca="false">E4/100</f>
        <v>26.7954</v>
      </c>
      <c r="F21" s="26" t="n">
        <f aca="false">F4/100</f>
        <v>54.47808</v>
      </c>
      <c r="G21" s="26" t="n">
        <f aca="false">G4/100</f>
        <v>86.6994</v>
      </c>
    </row>
    <row r="22" customFormat="false" ht="15" hidden="false" customHeight="false" outlineLevel="0" collapsed="false">
      <c r="A22" s="3" t="s">
        <v>130</v>
      </c>
      <c r="B22" s="2"/>
      <c r="C22" s="27" t="n">
        <f aca="false">C17/100</f>
        <v>-0.475581365</v>
      </c>
      <c r="D22" s="27" t="n">
        <f aca="false">D17/100</f>
        <v>-1.4339228</v>
      </c>
      <c r="E22" s="27" t="n">
        <f aca="false">E17/100</f>
        <v>3.436538</v>
      </c>
      <c r="F22" s="27" t="n">
        <f aca="false">F17/100</f>
        <v>15.2437376</v>
      </c>
      <c r="G22" s="27" t="n">
        <f aca="false">G17/100</f>
        <v>31.023418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131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8" t="s">
        <v>103</v>
      </c>
      <c r="B3" s="8" t="s">
        <v>31</v>
      </c>
      <c r="C3" s="9" t="s">
        <v>11</v>
      </c>
      <c r="D3" s="9" t="s">
        <v>32</v>
      </c>
      <c r="E3" s="9" t="s">
        <v>33</v>
      </c>
      <c r="F3" s="9" t="s">
        <v>34</v>
      </c>
      <c r="G3" s="9" t="s">
        <v>35</v>
      </c>
    </row>
    <row r="4" customFormat="false" ht="15" hidden="false" customHeight="false" outlineLevel="0" collapsed="false">
      <c r="A4" s="3" t="s">
        <v>100</v>
      </c>
      <c r="B4" s="2"/>
      <c r="C4" s="25" t="n">
        <f aca="false">Assumptions!C$28</f>
        <v>20</v>
      </c>
      <c r="D4" s="25" t="n">
        <f aca="false">C9</f>
        <v>567.4418635</v>
      </c>
      <c r="E4" s="25" t="n">
        <f aca="false">D9</f>
        <v>382.0495835</v>
      </c>
      <c r="F4" s="25" t="n">
        <f aca="false">E9</f>
        <v>4555.20572204</v>
      </c>
      <c r="G4" s="25" t="n">
        <f aca="false">F9</f>
        <v>5563.894606648</v>
      </c>
    </row>
    <row r="5" customFormat="false" ht="15" hidden="false" customHeight="false" outlineLevel="0" collapsed="false">
      <c r="A5" s="3" t="s">
        <v>97</v>
      </c>
      <c r="B5" s="2"/>
      <c r="C5" s="25" t="n">
        <f aca="false">Assumptions!C$27</f>
        <v>600</v>
      </c>
      <c r="D5" s="25" t="n">
        <f aca="false">Assumptions!D$27</f>
        <v>0</v>
      </c>
      <c r="E5" s="25" t="n">
        <f aca="false">Assumptions!E$27</f>
        <v>4000</v>
      </c>
      <c r="F5" s="25" t="n">
        <f aca="false">Assumptions!F$27</f>
        <v>0</v>
      </c>
      <c r="G5" s="25" t="n">
        <f aca="false">Assumptions!G$27</f>
        <v>0</v>
      </c>
    </row>
    <row r="6" customFormat="false" ht="15" hidden="false" customHeight="false" outlineLevel="0" collapsed="false">
      <c r="A6" s="3" t="s">
        <v>125</v>
      </c>
      <c r="B6" s="2"/>
      <c r="C6" s="25" t="n">
        <f aca="false">'P&amp;L'!C17</f>
        <v>-47.5581365</v>
      </c>
      <c r="D6" s="25" t="n">
        <f aca="false">'P&amp;L'!D17</f>
        <v>-143.39228</v>
      </c>
      <c r="E6" s="25" t="n">
        <f aca="false">'P&amp;L'!E17</f>
        <v>343.6538</v>
      </c>
      <c r="F6" s="25" t="n">
        <f aca="false">'P&amp;L'!F17</f>
        <v>1524.37376</v>
      </c>
      <c r="G6" s="25" t="n">
        <f aca="false">'P&amp;L'!G17</f>
        <v>3102.3418</v>
      </c>
    </row>
    <row r="7" customFormat="false" ht="15" hidden="false" customHeight="false" outlineLevel="0" collapsed="false">
      <c r="A7" s="3" t="s">
        <v>132</v>
      </c>
      <c r="B7" s="2"/>
      <c r="C7" s="25" t="n">
        <f aca="false">-'P&amp;L'!C19</f>
        <v>-0</v>
      </c>
      <c r="D7" s="25" t="n">
        <f aca="false">-'P&amp;L'!D19</f>
        <v>-0</v>
      </c>
      <c r="E7" s="25" t="n">
        <f aca="false">-'P&amp;L'!E19</f>
        <v>-86.49766146</v>
      </c>
      <c r="F7" s="25" t="n">
        <f aca="false">-'P&amp;L'!F19</f>
        <v>-383.684875392</v>
      </c>
      <c r="G7" s="25" t="n">
        <f aca="false">-'P&amp;L'!G19</f>
        <v>-780.85943106</v>
      </c>
    </row>
    <row r="8" customFormat="false" ht="15" hidden="false" customHeight="false" outlineLevel="0" collapsed="false">
      <c r="A8" s="3" t="s">
        <v>133</v>
      </c>
      <c r="B8" s="10" t="s">
        <v>134</v>
      </c>
      <c r="C8" s="22" t="n">
        <f aca="false">-Assumptions!C$21*1.2*Assumptions!C$4/12</f>
        <v>-5</v>
      </c>
      <c r="D8" s="22" t="n">
        <f aca="false">-Assumptions!D$21*1.2*Assumptions!D$4/12</f>
        <v>-42</v>
      </c>
      <c r="E8" s="22" t="n">
        <f aca="false">-Assumptions!E$21*1.2*Assumptions!E$4/12</f>
        <v>-84</v>
      </c>
      <c r="F8" s="22" t="n">
        <f aca="false">-Assumptions!F$21*1.2*Assumptions!F$4/12</f>
        <v>-132</v>
      </c>
      <c r="G8" s="22" t="n">
        <f aca="false">-Assumptions!G$21*1.2*Assumptions!G$4/12</f>
        <v>-180</v>
      </c>
    </row>
    <row r="9" customFormat="false" ht="15" hidden="false" customHeight="false" outlineLevel="0" collapsed="false">
      <c r="A9" s="4" t="s">
        <v>135</v>
      </c>
      <c r="B9" s="2"/>
      <c r="C9" s="28" t="n">
        <f aca="false">SUM(C4:C8)</f>
        <v>567.4418635</v>
      </c>
      <c r="D9" s="28" t="n">
        <f aca="false">SUM(D4:D8)</f>
        <v>382.0495835</v>
      </c>
      <c r="E9" s="28" t="n">
        <f aca="false">SUM(E4:E8)</f>
        <v>4555.20572204</v>
      </c>
      <c r="F9" s="28" t="n">
        <f aca="false">SUM(F4:F8)</f>
        <v>5563.894606648</v>
      </c>
      <c r="G9" s="28" t="n">
        <f aca="false">SUM(G4:G8)</f>
        <v>7705.376975588</v>
      </c>
    </row>
    <row r="10" customFormat="false" ht="15" hidden="false" customHeight="false" outlineLevel="0" collapsed="false">
      <c r="A10" s="3" t="s">
        <v>136</v>
      </c>
      <c r="B10" s="2"/>
      <c r="C10" s="22" t="n">
        <f aca="false">IF((C6+C7+C8)&lt;0,-(C6+C7+C8)/Assumptions!C$4,0)</f>
        <v>10.5116273</v>
      </c>
      <c r="D10" s="22" t="n">
        <f aca="false">IF((D6+D7+D8)&lt;0,-(D6+D7+D8)/Assumptions!D$4,0)</f>
        <v>15.4493566666667</v>
      </c>
      <c r="E10" s="22" t="n">
        <f aca="false">IF((E6+E7+E8)&lt;0,-(E6+E7+E8)/Assumptions!E$4,0)</f>
        <v>0</v>
      </c>
      <c r="F10" s="22" t="n">
        <f aca="false">IF((F6+F7+F8)&lt;0,-(F6+F7+F8)/Assumptions!F$4,0)</f>
        <v>0</v>
      </c>
      <c r="G10" s="22" t="n">
        <f aca="false">IF((G6+G7+G8)&lt;0,-(G6+G7+G8)/Assumptions!G$4,0)</f>
        <v>0</v>
      </c>
    </row>
    <row r="11" customFormat="false" ht="15" hidden="false" customHeight="false" outlineLevel="0" collapsed="false">
      <c r="A11" s="3" t="s">
        <v>137</v>
      </c>
      <c r="B11" s="2"/>
      <c r="C11" s="29" t="n">
        <f aca="false">IF(C10=0,"cash positive",C9/C10)</f>
        <v>53.9823042907924</v>
      </c>
      <c r="D11" s="29" t="n">
        <f aca="false">IF(D10=0,"cash positive",D9/D10)</f>
        <v>24.7291580965507</v>
      </c>
      <c r="E11" s="29" t="str">
        <f aca="false">IF(E10=0,"cash positive",E9/E10)</f>
        <v>cash positive</v>
      </c>
      <c r="F11" s="29" t="str">
        <f aca="false">IF(F10=0,"cash positive",F9/F10)</f>
        <v>cash positive</v>
      </c>
      <c r="G11" s="29" t="str">
        <f aca="false">IF(G10=0,"cash positive",G9/G10)</f>
        <v>cash positive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4" t="s">
        <v>138</v>
      </c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 t="s">
        <v>139</v>
      </c>
      <c r="B14" s="2" t="s">
        <v>98</v>
      </c>
      <c r="C14" s="25" t="n">
        <f aca="false">Assumptions!C$27</f>
        <v>600</v>
      </c>
      <c r="D14" s="2"/>
      <c r="E14" s="2"/>
      <c r="F14" s="2"/>
      <c r="G14" s="2"/>
    </row>
    <row r="15" customFormat="false" ht="15" hidden="false" customHeight="false" outlineLevel="0" collapsed="false">
      <c r="A15" s="2" t="s">
        <v>140</v>
      </c>
      <c r="B15" s="2"/>
      <c r="C15" s="14" t="n">
        <v>0.15</v>
      </c>
      <c r="D15" s="2"/>
      <c r="E15" s="2"/>
      <c r="F15" s="2"/>
      <c r="G15" s="2"/>
    </row>
    <row r="16" customFormat="false" ht="15" hidden="false" customHeight="false" outlineLevel="0" collapsed="false">
      <c r="A16" s="2" t="s">
        <v>141</v>
      </c>
      <c r="B16" s="2" t="s">
        <v>98</v>
      </c>
      <c r="C16" s="30" t="n">
        <f aca="false">C14/C15</f>
        <v>4000</v>
      </c>
      <c r="D16" s="2"/>
      <c r="E16" s="2"/>
      <c r="F16" s="2"/>
      <c r="G16" s="2"/>
    </row>
    <row r="17" customFormat="false" ht="15" hidden="false" customHeight="false" outlineLevel="0" collapsed="false">
      <c r="A17" s="2" t="s">
        <v>142</v>
      </c>
      <c r="B17" s="2" t="s">
        <v>98</v>
      </c>
      <c r="C17" s="30" t="n">
        <f aca="false">MIN(C9:G9)</f>
        <v>382.0495835</v>
      </c>
      <c r="D17" s="2"/>
      <c r="E17" s="2"/>
      <c r="F17" s="2"/>
      <c r="G17" s="2"/>
    </row>
    <row r="18" customFormat="false" ht="15" hidden="false" customHeight="false" outlineLevel="0" collapsed="false">
      <c r="A18" s="4" t="s">
        <v>143</v>
      </c>
      <c r="B18" s="2"/>
      <c r="C18" s="2"/>
      <c r="D18" s="2" t="s">
        <v>98</v>
      </c>
      <c r="E18" s="2"/>
      <c r="F18" s="2"/>
      <c r="G18" s="2"/>
    </row>
    <row r="19" customFormat="false" ht="15" hidden="false" customHeight="false" outlineLevel="0" collapsed="false">
      <c r="A19" s="2" t="s">
        <v>144</v>
      </c>
      <c r="B19" s="2"/>
      <c r="C19" s="16" t="n">
        <v>0.45</v>
      </c>
      <c r="D19" s="30" t="n">
        <f aca="false">C19*$C$14</f>
        <v>270</v>
      </c>
      <c r="E19" s="2"/>
      <c r="F19" s="2"/>
      <c r="G19" s="2"/>
    </row>
    <row r="20" customFormat="false" ht="15" hidden="false" customHeight="false" outlineLevel="0" collapsed="false">
      <c r="A20" s="2" t="s">
        <v>145</v>
      </c>
      <c r="B20" s="2"/>
      <c r="C20" s="16" t="n">
        <v>0.3</v>
      </c>
      <c r="D20" s="30" t="n">
        <f aca="false">C20*$C$14</f>
        <v>180</v>
      </c>
      <c r="E20" s="2"/>
      <c r="F20" s="2"/>
      <c r="G20" s="2"/>
    </row>
    <row r="21" customFormat="false" ht="15" hidden="false" customHeight="false" outlineLevel="0" collapsed="false">
      <c r="A21" s="2" t="s">
        <v>146</v>
      </c>
      <c r="B21" s="2"/>
      <c r="C21" s="16" t="n">
        <v>0.15</v>
      </c>
      <c r="D21" s="30" t="n">
        <f aca="false">C21*$C$14</f>
        <v>90</v>
      </c>
      <c r="E21" s="2"/>
      <c r="F21" s="2"/>
      <c r="G21" s="2"/>
    </row>
    <row r="22" customFormat="false" ht="15" hidden="false" customHeight="false" outlineLevel="0" collapsed="false">
      <c r="A22" s="2" t="s">
        <v>147</v>
      </c>
      <c r="B22" s="2"/>
      <c r="C22" s="16" t="n">
        <v>0.1</v>
      </c>
      <c r="D22" s="30" t="n">
        <f aca="false">C22*$C$14</f>
        <v>60</v>
      </c>
      <c r="E22" s="2"/>
      <c r="F22" s="2"/>
      <c r="G22" s="2"/>
    </row>
    <row r="23" customFormat="false" ht="15" hidden="false" customHeight="false" outlineLevel="0" collapsed="false">
      <c r="A23" s="2"/>
      <c r="B23" s="2"/>
      <c r="C23" s="31" t="n">
        <f aca="false">SUM(C19:C22)</f>
        <v>1</v>
      </c>
      <c r="D23" s="2"/>
      <c r="E23" s="2"/>
      <c r="F23" s="2"/>
      <c r="G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35" hidden="false" customHeight="false" outlineLevel="0" collapsed="false">
      <c r="A1" s="1" t="s">
        <v>148</v>
      </c>
      <c r="B1" s="2"/>
      <c r="C1" s="2"/>
      <c r="D1" s="2"/>
    </row>
    <row r="2" customFormat="false" ht="15" hidden="false" customHeight="false" outlineLevel="0" collapsed="false">
      <c r="A2" s="8" t="s">
        <v>149</v>
      </c>
      <c r="B2" s="8" t="s">
        <v>150</v>
      </c>
      <c r="C2" s="8" t="s">
        <v>151</v>
      </c>
      <c r="D2" s="2"/>
    </row>
    <row r="3" customFormat="false" ht="15" hidden="false" customHeight="false" outlineLevel="0" collapsed="false">
      <c r="A3" s="2" t="s">
        <v>152</v>
      </c>
      <c r="B3" s="21" t="n">
        <f aca="false">Revenue!D15*100000/Revenue!D4</f>
        <v>224.319</v>
      </c>
      <c r="C3" s="2" t="s">
        <v>64</v>
      </c>
      <c r="D3" s="2"/>
    </row>
    <row r="4" customFormat="false" ht="15" hidden="false" customHeight="false" outlineLevel="0" collapsed="false">
      <c r="A4" s="2" t="s">
        <v>153</v>
      </c>
      <c r="B4" s="21" t="n">
        <f aca="false">Assumptions!D$19+Assumptions!D$20</f>
        <v>90</v>
      </c>
      <c r="C4" s="2" t="s">
        <v>64</v>
      </c>
      <c r="D4" s="2"/>
    </row>
    <row r="5" customFormat="false" ht="15" hidden="false" customHeight="false" outlineLevel="0" collapsed="false">
      <c r="A5" s="2" t="s">
        <v>154</v>
      </c>
      <c r="B5" s="21" t="n">
        <f aca="false">B3-B4</f>
        <v>134.319</v>
      </c>
      <c r="C5" s="2" t="s">
        <v>64</v>
      </c>
      <c r="D5" s="2"/>
    </row>
    <row r="6" customFormat="false" ht="15" hidden="false" customHeight="false" outlineLevel="0" collapsed="false">
      <c r="A6" s="2" t="s">
        <v>155</v>
      </c>
      <c r="B6" s="32" t="n">
        <f aca="false">IF(B4=0,0,B3/B4)</f>
        <v>2.49243333333333</v>
      </c>
      <c r="C6" s="2" t="s">
        <v>156</v>
      </c>
      <c r="D6" s="2"/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2" t="s">
        <v>157</v>
      </c>
      <c r="B8" s="21" t="n">
        <f aca="false">1/(Assumptions!D$6*Assumptions!D$7)</f>
        <v>62.5</v>
      </c>
      <c r="C8" s="2" t="s">
        <v>70</v>
      </c>
      <c r="D8" s="2"/>
    </row>
    <row r="9" customFormat="false" ht="15" hidden="false" customHeight="false" outlineLevel="0" collapsed="false">
      <c r="A9" s="2" t="s">
        <v>158</v>
      </c>
      <c r="B9" s="21" t="n">
        <f aca="false">SUM(Revenue!D10:D12)*100000/Revenue!D6</f>
        <v>11708</v>
      </c>
      <c r="C9" s="2" t="s">
        <v>64</v>
      </c>
      <c r="D9" s="2"/>
    </row>
    <row r="10" customFormat="false" ht="15" hidden="false" customHeight="false" outlineLevel="0" collapsed="false">
      <c r="A10" s="2" t="s">
        <v>159</v>
      </c>
      <c r="B10" s="21" t="n">
        <f aca="false">B8*B4</f>
        <v>5625</v>
      </c>
      <c r="C10" s="2" t="s">
        <v>64</v>
      </c>
      <c r="D10" s="2"/>
    </row>
    <row r="11" customFormat="false" ht="15" hidden="false" customHeight="false" outlineLevel="0" collapsed="false">
      <c r="A11" s="2" t="s">
        <v>160</v>
      </c>
      <c r="B11" s="21" t="n">
        <f aca="false">B9-B10</f>
        <v>6083</v>
      </c>
      <c r="C11" s="2" t="s">
        <v>64</v>
      </c>
      <c r="D11" s="2"/>
    </row>
    <row r="12" customFormat="false" ht="15" hidden="false" customHeight="false" outlineLevel="0" collapsed="false">
      <c r="A12" s="2" t="s">
        <v>161</v>
      </c>
      <c r="B12" s="24" t="n">
        <f aca="false">IF(B9=0,0,B11/B9)</f>
        <v>0.519559275708917</v>
      </c>
      <c r="C12" s="2" t="s">
        <v>46</v>
      </c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2" t="s">
        <v>162</v>
      </c>
      <c r="B14" s="11" t="n">
        <v>28869</v>
      </c>
      <c r="C14" s="2" t="s">
        <v>64</v>
      </c>
      <c r="D14" s="13" t="s">
        <v>163</v>
      </c>
    </row>
    <row r="15" customFormat="false" ht="15" hidden="false" customHeight="false" outlineLevel="0" collapsed="false">
      <c r="A15" s="2" t="s">
        <v>164</v>
      </c>
      <c r="B15" s="24" t="n">
        <f aca="false">B9/(B14*25)</f>
        <v>0.0162222453150438</v>
      </c>
      <c r="C15" s="2" t="s">
        <v>46</v>
      </c>
      <c r="D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9" min="5" style="0" width="14"/>
  </cols>
  <sheetData>
    <row r="1" customFormat="false" ht="17.35" hidden="false" customHeight="false" outlineLevel="0" collapsed="false">
      <c r="A1" s="1" t="s">
        <v>165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 t="s">
        <v>166</v>
      </c>
      <c r="B3" s="33" t="n">
        <v>49</v>
      </c>
      <c r="C3" s="10" t="s">
        <v>167</v>
      </c>
      <c r="D3" s="13" t="s">
        <v>168</v>
      </c>
    </row>
    <row r="4" customFormat="false" ht="15" hidden="false" customHeight="false" outlineLevel="0" collapsed="false">
      <c r="A4" s="2" t="s">
        <v>107</v>
      </c>
      <c r="B4" s="34" t="n">
        <f aca="false">Assumptions!D$9*Assumptions!D$10</f>
        <v>182400</v>
      </c>
      <c r="C4" s="10" t="s">
        <v>64</v>
      </c>
      <c r="D4" s="2"/>
    </row>
    <row r="5" customFormat="false" ht="15" hidden="false" customHeight="false" outlineLevel="0" collapsed="false">
      <c r="A5" s="2" t="s">
        <v>169</v>
      </c>
      <c r="B5" s="35" t="n">
        <f aca="false">B3*100000*B4/10000000</f>
        <v>89376</v>
      </c>
      <c r="C5" s="10" t="s">
        <v>170</v>
      </c>
      <c r="D5" s="2"/>
    </row>
    <row r="6" customFormat="false" ht="15" hidden="false" customHeight="false" outlineLevel="0" collapsed="false">
      <c r="A6" s="2" t="s">
        <v>171</v>
      </c>
      <c r="B6" s="33" t="n">
        <v>32</v>
      </c>
      <c r="C6" s="10" t="s">
        <v>172</v>
      </c>
      <c r="D6" s="13" t="s">
        <v>173</v>
      </c>
    </row>
    <row r="7" customFormat="false" ht="15" hidden="false" customHeight="false" outlineLevel="0" collapsed="false">
      <c r="A7" s="2" t="s">
        <v>174</v>
      </c>
      <c r="B7" s="35" t="n">
        <f aca="false">B6*1000000/Assumptions!D$9/100000</f>
        <v>100</v>
      </c>
      <c r="C7" s="10" t="s">
        <v>167</v>
      </c>
      <c r="D7" s="2"/>
    </row>
    <row r="8" customFormat="false" ht="15" hidden="false" customHeight="false" outlineLevel="0" collapsed="false">
      <c r="A8" s="2" t="s">
        <v>175</v>
      </c>
      <c r="B8" s="35" t="n">
        <f aca="false">B7*100000*B4/10000000</f>
        <v>182400</v>
      </c>
      <c r="C8" s="10" t="s">
        <v>170</v>
      </c>
      <c r="D8" s="2"/>
    </row>
    <row r="9" customFormat="false" ht="15" hidden="false" customHeight="false" outlineLevel="0" collapsed="false">
      <c r="A9" s="2" t="s">
        <v>176</v>
      </c>
      <c r="B9" s="36" t="n">
        <f aca="false">'Unit economics'!B9/B4</f>
        <v>0.0641885964912281</v>
      </c>
      <c r="C9" s="10" t="s">
        <v>58</v>
      </c>
      <c r="D9" s="2"/>
    </row>
    <row r="10" customFormat="false" ht="15" hidden="false" customHeight="false" outlineLevel="0" collapsed="false">
      <c r="A10" s="2" t="s">
        <v>177</v>
      </c>
      <c r="B10" s="35" t="n">
        <f aca="false">B8*B9</f>
        <v>11708</v>
      </c>
      <c r="C10" s="10" t="s">
        <v>170</v>
      </c>
      <c r="D10" s="2"/>
    </row>
    <row r="11" customFormat="false" ht="15" hidden="false" customHeight="false" outlineLevel="0" collapsed="false">
      <c r="A11" s="2" t="s">
        <v>178</v>
      </c>
      <c r="B11" s="34" t="n">
        <f aca="false">'P&amp;L'!G21</f>
        <v>86.6994</v>
      </c>
      <c r="C11" s="10" t="s">
        <v>170</v>
      </c>
      <c r="D11" s="2"/>
    </row>
    <row r="12" customFormat="false" ht="15" hidden="false" customHeight="false" outlineLevel="0" collapsed="false">
      <c r="A12" s="2" t="s">
        <v>179</v>
      </c>
      <c r="B12" s="24" t="n">
        <f aca="false">IF(B10=0,0,B11/B10)</f>
        <v>0.00740514178339597</v>
      </c>
      <c r="C12" s="10" t="s">
        <v>46</v>
      </c>
      <c r="D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180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181</v>
      </c>
      <c r="B3" s="11" t="n">
        <v>900</v>
      </c>
      <c r="C3" s="11" t="n">
        <v>1200</v>
      </c>
      <c r="D3" s="11" t="n">
        <v>1500</v>
      </c>
      <c r="E3" s="11" t="n">
        <v>1800</v>
      </c>
      <c r="F3" s="11" t="n">
        <v>2100</v>
      </c>
    </row>
    <row r="4" customFormat="false" ht="15" hidden="false" customHeight="false" outlineLevel="0" collapsed="false">
      <c r="A4" s="16" t="n">
        <v>0.12</v>
      </c>
      <c r="B4" s="37" t="n">
        <f aca="false">((Assumptions!E$5*Assumptions!E$6*B$3+Assumptions!E$5*Assumptions!E$6*$A4*Assumptions!E$9*Assumptions!E$10*Assumptions!E$11+Assumptions!E$5*Assumptions!E$6*$A4*Assumptions!E$12*Assumptions!E$13*Assumptions!E$14)/100000+Revenue!E13+Revenue!E14)*(1-Assumptions!E$25)-'P&amp;L'!E6-'P&amp;L'!E7-'P&amp;L'!E15</f>
        <v>-523.777624</v>
      </c>
      <c r="C4" s="37" t="n">
        <f aca="false">((Assumptions!E$5*Assumptions!E$6*C$3+Assumptions!E$5*Assumptions!E$6*$A4*Assumptions!E$9*Assumptions!E$10*Assumptions!E$11+Assumptions!E$5*Assumptions!E$6*$A4*Assumptions!E$12*Assumptions!E$13*Assumptions!E$14)/100000+Revenue!E13+Revenue!E14)*(1-Assumptions!E$25)-'P&amp;L'!E6-'P&amp;L'!E7-'P&amp;L'!E15</f>
        <v>-244.417624</v>
      </c>
      <c r="D4" s="37" t="n">
        <f aca="false">((Assumptions!E$5*Assumptions!E$6*D$3+Assumptions!E$5*Assumptions!E$6*$A4*Assumptions!E$9*Assumptions!E$10*Assumptions!E$11+Assumptions!E$5*Assumptions!E$6*$A4*Assumptions!E$12*Assumptions!E$13*Assumptions!E$14)/100000+Revenue!E13+Revenue!E14)*(1-Assumptions!E$25)-'P&amp;L'!E6-'P&amp;L'!E7-'P&amp;L'!E15</f>
        <v>34.942376</v>
      </c>
      <c r="E4" s="37" t="n">
        <f aca="false">((Assumptions!E$5*Assumptions!E$6*E$3+Assumptions!E$5*Assumptions!E$6*$A4*Assumptions!E$9*Assumptions!E$10*Assumptions!E$11+Assumptions!E$5*Assumptions!E$6*$A4*Assumptions!E$12*Assumptions!E$13*Assumptions!E$14)/100000+Revenue!E13+Revenue!E14)*(1-Assumptions!E$25)-'P&amp;L'!E6-'P&amp;L'!E7-'P&amp;L'!E15</f>
        <v>314.302376</v>
      </c>
      <c r="F4" s="37" t="n">
        <f aca="false">((Assumptions!E$5*Assumptions!E$6*F$3+Assumptions!E$5*Assumptions!E$6*$A4*Assumptions!E$9*Assumptions!E$10*Assumptions!E$11+Assumptions!E$5*Assumptions!E$6*$A4*Assumptions!E$12*Assumptions!E$13*Assumptions!E$14)/100000+Revenue!E13+Revenue!E14)*(1-Assumptions!E$25)-'P&amp;L'!E6-'P&amp;L'!E7-'P&amp;L'!E15</f>
        <v>593.662376</v>
      </c>
    </row>
    <row r="5" customFormat="false" ht="15" hidden="false" customHeight="false" outlineLevel="0" collapsed="false">
      <c r="A5" s="16" t="n">
        <v>0.16</v>
      </c>
      <c r="B5" s="37" t="n">
        <f aca="false">((Assumptions!E$5*Assumptions!E$6*B$3+Assumptions!E$5*Assumptions!E$6*$A5*Assumptions!E$9*Assumptions!E$10*Assumptions!E$11+Assumptions!E$5*Assumptions!E$6*$A5*Assumptions!E$12*Assumptions!E$13*Assumptions!E$14)/100000+Revenue!E13+Revenue!E14)*(1-Assumptions!E$25)-'P&amp;L'!E6-'P&amp;L'!E7-'P&amp;L'!E15</f>
        <v>-369.421912</v>
      </c>
      <c r="C5" s="37" t="n">
        <f aca="false">((Assumptions!E$5*Assumptions!E$6*C$3+Assumptions!E$5*Assumptions!E$6*$A5*Assumptions!E$9*Assumptions!E$10*Assumptions!E$11+Assumptions!E$5*Assumptions!E$6*$A5*Assumptions!E$12*Assumptions!E$13*Assumptions!E$14)/100000+Revenue!E13+Revenue!E14)*(1-Assumptions!E$25)-'P&amp;L'!E6-'P&amp;L'!E7-'P&amp;L'!E15</f>
        <v>-90.0619120000001</v>
      </c>
      <c r="D5" s="37" t="n">
        <f aca="false">((Assumptions!E$5*Assumptions!E$6*D$3+Assumptions!E$5*Assumptions!E$6*$A5*Assumptions!E$9*Assumptions!E$10*Assumptions!E$11+Assumptions!E$5*Assumptions!E$6*$A5*Assumptions!E$12*Assumptions!E$13*Assumptions!E$14)/100000+Revenue!E13+Revenue!E14)*(1-Assumptions!E$25)-'P&amp;L'!E6-'P&amp;L'!E7-'P&amp;L'!E15</f>
        <v>189.298088</v>
      </c>
      <c r="E5" s="37" t="n">
        <f aca="false">((Assumptions!E$5*Assumptions!E$6*E$3+Assumptions!E$5*Assumptions!E$6*$A5*Assumptions!E$9*Assumptions!E$10*Assumptions!E$11+Assumptions!E$5*Assumptions!E$6*$A5*Assumptions!E$12*Assumptions!E$13*Assumptions!E$14)/100000+Revenue!E13+Revenue!E14)*(1-Assumptions!E$25)-'P&amp;L'!E6-'P&amp;L'!E7-'P&amp;L'!E15</f>
        <v>468.658088</v>
      </c>
      <c r="F5" s="37" t="n">
        <f aca="false">((Assumptions!E$5*Assumptions!E$6*F$3+Assumptions!E$5*Assumptions!E$6*$A5*Assumptions!E$9*Assumptions!E$10*Assumptions!E$11+Assumptions!E$5*Assumptions!E$6*$A5*Assumptions!E$12*Assumptions!E$13*Assumptions!E$14)/100000+Revenue!E13+Revenue!E14)*(1-Assumptions!E$25)-'P&amp;L'!E6-'P&amp;L'!E7-'P&amp;L'!E15</f>
        <v>748.018088</v>
      </c>
    </row>
    <row r="6" customFormat="false" ht="15" hidden="false" customHeight="false" outlineLevel="0" collapsed="false">
      <c r="A6" s="16" t="n">
        <v>0.2</v>
      </c>
      <c r="B6" s="37" t="n">
        <f aca="false">((Assumptions!E$5*Assumptions!E$6*B$3+Assumptions!E$5*Assumptions!E$6*$A6*Assumptions!E$9*Assumptions!E$10*Assumptions!E$11+Assumptions!E$5*Assumptions!E$6*$A6*Assumptions!E$12*Assumptions!E$13*Assumptions!E$14)/100000+Revenue!E13+Revenue!E14)*(1-Assumptions!E$25)-'P&amp;L'!E6-'P&amp;L'!E7-'P&amp;L'!E15</f>
        <v>-215.0662</v>
      </c>
      <c r="C6" s="37" t="n">
        <f aca="false">((Assumptions!E$5*Assumptions!E$6*C$3+Assumptions!E$5*Assumptions!E$6*$A6*Assumptions!E$9*Assumptions!E$10*Assumptions!E$11+Assumptions!E$5*Assumptions!E$6*$A6*Assumptions!E$12*Assumptions!E$13*Assumptions!E$14)/100000+Revenue!E13+Revenue!E14)*(1-Assumptions!E$25)-'P&amp;L'!E6-'P&amp;L'!E7-'P&amp;L'!E15</f>
        <v>64.2937999999999</v>
      </c>
      <c r="D6" s="37" t="n">
        <f aca="false">((Assumptions!E$5*Assumptions!E$6*D$3+Assumptions!E$5*Assumptions!E$6*$A6*Assumptions!E$9*Assumptions!E$10*Assumptions!E$11+Assumptions!E$5*Assumptions!E$6*$A6*Assumptions!E$12*Assumptions!E$13*Assumptions!E$14)/100000+Revenue!E13+Revenue!E14)*(1-Assumptions!E$25)-'P&amp;L'!E6-'P&amp;L'!E7-'P&amp;L'!E15</f>
        <v>343.6538</v>
      </c>
      <c r="E6" s="37" t="n">
        <f aca="false">((Assumptions!E$5*Assumptions!E$6*E$3+Assumptions!E$5*Assumptions!E$6*$A6*Assumptions!E$9*Assumptions!E$10*Assumptions!E$11+Assumptions!E$5*Assumptions!E$6*$A6*Assumptions!E$12*Assumptions!E$13*Assumptions!E$14)/100000+Revenue!E13+Revenue!E14)*(1-Assumptions!E$25)-'P&amp;L'!E6-'P&amp;L'!E7-'P&amp;L'!E15</f>
        <v>623.0138</v>
      </c>
      <c r="F6" s="37" t="n">
        <f aca="false">((Assumptions!E$5*Assumptions!E$6*F$3+Assumptions!E$5*Assumptions!E$6*$A6*Assumptions!E$9*Assumptions!E$10*Assumptions!E$11+Assumptions!E$5*Assumptions!E$6*$A6*Assumptions!E$12*Assumptions!E$13*Assumptions!E$14)/100000+Revenue!E13+Revenue!E14)*(1-Assumptions!E$25)-'P&amp;L'!E6-'P&amp;L'!E7-'P&amp;L'!E15</f>
        <v>902.3738</v>
      </c>
    </row>
    <row r="7" customFormat="false" ht="15" hidden="false" customHeight="false" outlineLevel="0" collapsed="false">
      <c r="A7" s="16" t="n">
        <v>0.24</v>
      </c>
      <c r="B7" s="37" t="n">
        <f aca="false">((Assumptions!E$5*Assumptions!E$6*B$3+Assumptions!E$5*Assumptions!E$6*$A7*Assumptions!E$9*Assumptions!E$10*Assumptions!E$11+Assumptions!E$5*Assumptions!E$6*$A7*Assumptions!E$12*Assumptions!E$13*Assumptions!E$14)/100000+Revenue!E13+Revenue!E14)*(1-Assumptions!E$25)-'P&amp;L'!E6-'P&amp;L'!E7-'P&amp;L'!E15</f>
        <v>-60.7104880000002</v>
      </c>
      <c r="C7" s="37" t="n">
        <f aca="false">((Assumptions!E$5*Assumptions!E$6*C$3+Assumptions!E$5*Assumptions!E$6*$A7*Assumptions!E$9*Assumptions!E$10*Assumptions!E$11+Assumptions!E$5*Assumptions!E$6*$A7*Assumptions!E$12*Assumptions!E$13*Assumptions!E$14)/100000+Revenue!E13+Revenue!E14)*(1-Assumptions!E$25)-'P&amp;L'!E6-'P&amp;L'!E7-'P&amp;L'!E15</f>
        <v>218.649512</v>
      </c>
      <c r="D7" s="37" t="n">
        <f aca="false">((Assumptions!E$5*Assumptions!E$6*D$3+Assumptions!E$5*Assumptions!E$6*$A7*Assumptions!E$9*Assumptions!E$10*Assumptions!E$11+Assumptions!E$5*Assumptions!E$6*$A7*Assumptions!E$12*Assumptions!E$13*Assumptions!E$14)/100000+Revenue!E13+Revenue!E14)*(1-Assumptions!E$25)-'P&amp;L'!E6-'P&amp;L'!E7-'P&amp;L'!E15</f>
        <v>498.009512</v>
      </c>
      <c r="E7" s="37" t="n">
        <f aca="false">((Assumptions!E$5*Assumptions!E$6*E$3+Assumptions!E$5*Assumptions!E$6*$A7*Assumptions!E$9*Assumptions!E$10*Assumptions!E$11+Assumptions!E$5*Assumptions!E$6*$A7*Assumptions!E$12*Assumptions!E$13*Assumptions!E$14)/100000+Revenue!E13+Revenue!E14)*(1-Assumptions!E$25)-'P&amp;L'!E6-'P&amp;L'!E7-'P&amp;L'!E15</f>
        <v>777.369512</v>
      </c>
      <c r="F7" s="37" t="n">
        <f aca="false">((Assumptions!E$5*Assumptions!E$6*F$3+Assumptions!E$5*Assumptions!E$6*$A7*Assumptions!E$9*Assumptions!E$10*Assumptions!E$11+Assumptions!E$5*Assumptions!E$6*$A7*Assumptions!E$12*Assumptions!E$13*Assumptions!E$14)/100000+Revenue!E13+Revenue!E14)*(1-Assumptions!E$25)-'P&amp;L'!E6-'P&amp;L'!E7-'P&amp;L'!E15</f>
        <v>1056.729512</v>
      </c>
    </row>
    <row r="8" customFormat="false" ht="15" hidden="false" customHeight="false" outlineLevel="0" collapsed="false">
      <c r="A8" s="16" t="n">
        <v>0.28</v>
      </c>
      <c r="B8" s="37" t="n">
        <f aca="false">((Assumptions!E$5*Assumptions!E$6*B$3+Assumptions!E$5*Assumptions!E$6*$A8*Assumptions!E$9*Assumptions!E$10*Assumptions!E$11+Assumptions!E$5*Assumptions!E$6*$A8*Assumptions!E$12*Assumptions!E$13*Assumptions!E$14)/100000+Revenue!E13+Revenue!E14)*(1-Assumptions!E$25)-'P&amp;L'!E6-'P&amp;L'!E7-'P&amp;L'!E15</f>
        <v>93.6452239999999</v>
      </c>
      <c r="C8" s="37" t="n">
        <f aca="false">((Assumptions!E$5*Assumptions!E$6*C$3+Assumptions!E$5*Assumptions!E$6*$A8*Assumptions!E$9*Assumptions!E$10*Assumptions!E$11+Assumptions!E$5*Assumptions!E$6*$A8*Assumptions!E$12*Assumptions!E$13*Assumptions!E$14)/100000+Revenue!E13+Revenue!E14)*(1-Assumptions!E$25)-'P&amp;L'!E6-'P&amp;L'!E7-'P&amp;L'!E15</f>
        <v>373.005224</v>
      </c>
      <c r="D8" s="37" t="n">
        <f aca="false">((Assumptions!E$5*Assumptions!E$6*D$3+Assumptions!E$5*Assumptions!E$6*$A8*Assumptions!E$9*Assumptions!E$10*Assumptions!E$11+Assumptions!E$5*Assumptions!E$6*$A8*Assumptions!E$12*Assumptions!E$13*Assumptions!E$14)/100000+Revenue!E13+Revenue!E14)*(1-Assumptions!E$25)-'P&amp;L'!E6-'P&amp;L'!E7-'P&amp;L'!E15</f>
        <v>652.365224</v>
      </c>
      <c r="E8" s="37" t="n">
        <f aca="false">((Assumptions!E$5*Assumptions!E$6*E$3+Assumptions!E$5*Assumptions!E$6*$A8*Assumptions!E$9*Assumptions!E$10*Assumptions!E$11+Assumptions!E$5*Assumptions!E$6*$A8*Assumptions!E$12*Assumptions!E$13*Assumptions!E$14)/100000+Revenue!E13+Revenue!E14)*(1-Assumptions!E$25)-'P&amp;L'!E6-'P&amp;L'!E7-'P&amp;L'!E15</f>
        <v>931.725224</v>
      </c>
      <c r="F8" s="37" t="n">
        <f aca="false">((Assumptions!E$5*Assumptions!E$6*F$3+Assumptions!E$5*Assumptions!E$6*$A8*Assumptions!E$9*Assumptions!E$10*Assumptions!E$11+Assumptions!E$5*Assumptions!E$6*$A8*Assumptions!E$12*Assumptions!E$13*Assumptions!E$14)/100000+Revenue!E13+Revenue!E14)*(1-Assumptions!E$25)-'P&amp;L'!E6-'P&amp;L'!E7-'P&amp;L'!E15</f>
        <v>1211.085224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13" t="s">
        <v>182</v>
      </c>
      <c r="B10" s="2"/>
      <c r="C10" s="2"/>
      <c r="D10" s="2"/>
      <c r="E10" s="2"/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2026-10-09T16:11:19Z</dcterms:created>
  <dc:creator>openpyxl</dc:creator>
  <dc:description/>
  <dc:language>en-US</dc:language>
  <cp:lastModifiedBy/>
  <dcterms:modified xsi:type="dcterms:W3CDTF">2026-10-09T16:11:19Z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